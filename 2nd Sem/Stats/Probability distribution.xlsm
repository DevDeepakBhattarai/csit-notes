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029"/>
  <workbookPr defaultThemeVersion="124226"/>
  <mc:AlternateContent xmlns:mc="http://schemas.openxmlformats.org/markup-compatibility/2006">
    <mc:Choice Requires="x15">
      <x15ac:absPath xmlns:x15ac="http://schemas.microsoft.com/office/spreadsheetml/2010/11/ac" url="C:\Users\deepak_bhattarai\Documents\Notes\2nd Sem\Stats\"/>
    </mc:Choice>
  </mc:AlternateContent>
  <xr:revisionPtr revIDLastSave="0" documentId="13_ncr:1_{B9C83DEC-25BE-4042-BB82-C83DDC4D99C1}" xr6:coauthVersionLast="47" xr6:coauthVersionMax="47" xr10:uidLastSave="{00000000-0000-0000-0000-000000000000}"/>
  <bookViews>
    <workbookView xWindow="-110" yWindow="-110" windowWidth="25820" windowHeight="15500" xr2:uid="{00000000-000D-0000-FFFF-FFFF00000000}"/>
  </bookViews>
  <sheets>
    <sheet name="Expectation" sheetId="1" r:id="rId1"/>
    <sheet name="Binomial " sheetId="2" r:id="rId2"/>
    <sheet name="Poisson" sheetId="3" r:id="rId3"/>
    <sheet name="Normal"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1" i="1" l="1"/>
  <c r="C15" i="1"/>
  <c r="B15" i="1"/>
  <c r="B16" i="4"/>
  <c r="B20" i="4" s="1"/>
  <c r="H15" i="4" s="1"/>
  <c r="E14" i="4"/>
  <c r="E13" i="4"/>
  <c r="E12" i="4"/>
  <c r="E11" i="4"/>
  <c r="E10" i="4"/>
  <c r="E9" i="4"/>
  <c r="E8" i="4"/>
  <c r="E7" i="4"/>
  <c r="E6" i="4"/>
  <c r="E5" i="4"/>
  <c r="B21" i="4" l="1"/>
  <c r="B22" i="4" s="1"/>
  <c r="B23" i="4" s="1"/>
  <c r="G9" i="4" s="1"/>
  <c r="F4" i="4" l="1" a="1"/>
  <c r="F10" i="4" s="1"/>
  <c r="H9" i="4"/>
  <c r="G14" i="4"/>
  <c r="D32" i="4"/>
  <c r="G10" i="4"/>
  <c r="D33" i="4"/>
  <c r="G11" i="4"/>
  <c r="D34" i="4"/>
  <c r="G12" i="4"/>
  <c r="D35" i="4"/>
  <c r="G13" i="4"/>
  <c r="G5" i="4"/>
  <c r="G4" i="4"/>
  <c r="G6" i="4"/>
  <c r="G7" i="4"/>
  <c r="G8" i="4"/>
  <c r="F11" i="4" l="1"/>
  <c r="F13" i="4"/>
  <c r="F12" i="4"/>
  <c r="F4" i="4"/>
  <c r="F7" i="4"/>
  <c r="F8" i="4"/>
  <c r="F5" i="4"/>
  <c r="F14" i="4"/>
  <c r="F6" i="4"/>
  <c r="F9" i="4"/>
  <c r="F15" i="4"/>
  <c r="H4" i="4"/>
  <c r="H14" i="4"/>
  <c r="H5" i="4"/>
  <c r="H6" i="4"/>
  <c r="H10" i="4"/>
  <c r="H11" i="4"/>
  <c r="H12" i="4"/>
  <c r="H13" i="4"/>
  <c r="H7" i="4"/>
  <c r="H8" i="4"/>
  <c r="B17" i="3"/>
  <c r="D25" i="3" s="1"/>
  <c r="B16" i="3"/>
  <c r="B13" i="3"/>
  <c r="B17" i="2"/>
  <c r="B16" i="2"/>
  <c r="B13" i="2"/>
  <c r="B16" i="1"/>
  <c r="D16" i="1" s="1"/>
  <c r="B17" i="1"/>
  <c r="D17" i="1" s="1"/>
  <c r="B18" i="1"/>
  <c r="C18" i="1" s="1"/>
  <c r="B19" i="1"/>
  <c r="D19" i="1" s="1"/>
  <c r="B20" i="1"/>
  <c r="D20" i="1" s="1"/>
  <c r="B21" i="1"/>
  <c r="D21" i="1" s="1"/>
  <c r="B22" i="1"/>
  <c r="D22" i="1" s="1"/>
  <c r="B23" i="1"/>
  <c r="D23" i="1" s="1"/>
  <c r="B24" i="1"/>
  <c r="C24" i="1" s="1"/>
  <c r="B25" i="1"/>
  <c r="C25" i="1" s="1"/>
  <c r="B18" i="2" l="1"/>
  <c r="F6" i="2" s="1"/>
  <c r="G6" i="2" s="1"/>
  <c r="C4" i="3" a="1"/>
  <c r="C4" i="3" s="1"/>
  <c r="C20" i="1"/>
  <c r="F29" i="1"/>
  <c r="C16" i="1"/>
  <c r="F31" i="1"/>
  <c r="F30" i="1"/>
  <c r="H16" i="4"/>
  <c r="D21" i="3"/>
  <c r="F9" i="3"/>
  <c r="G9" i="3" s="1"/>
  <c r="F10" i="3"/>
  <c r="G10" i="3" s="1"/>
  <c r="D23" i="3"/>
  <c r="D22" i="3"/>
  <c r="F11" i="3"/>
  <c r="G11" i="3" s="1"/>
  <c r="F5" i="3"/>
  <c r="G5" i="3" s="1"/>
  <c r="F12" i="3"/>
  <c r="G12" i="3" s="1"/>
  <c r="F6" i="3"/>
  <c r="G6" i="3" s="1"/>
  <c r="F4" i="3"/>
  <c r="F7" i="3"/>
  <c r="G7" i="3" s="1"/>
  <c r="D24" i="3"/>
  <c r="F8" i="3"/>
  <c r="G8" i="3" s="1"/>
  <c r="F10" i="2"/>
  <c r="G10" i="2" s="1"/>
  <c r="F9" i="2"/>
  <c r="G9" i="2" s="1"/>
  <c r="F8" i="2"/>
  <c r="G8" i="2" s="1"/>
  <c r="D21" i="2"/>
  <c r="C11" i="3"/>
  <c r="C10" i="3"/>
  <c r="C8" i="3"/>
  <c r="C12" i="3"/>
  <c r="F5" i="2"/>
  <c r="G5" i="2" s="1"/>
  <c r="D24" i="2"/>
  <c r="F11" i="2"/>
  <c r="G11" i="2" s="1"/>
  <c r="D18" i="1"/>
  <c r="C17" i="1"/>
  <c r="C19" i="1"/>
  <c r="D15" i="1"/>
  <c r="D24" i="1"/>
  <c r="D25" i="1"/>
  <c r="C21" i="1"/>
  <c r="C22" i="1"/>
  <c r="C23" i="1"/>
  <c r="B26" i="1"/>
  <c r="D23" i="2" l="1"/>
  <c r="D25" i="2"/>
  <c r="D22" i="2"/>
  <c r="F12" i="2"/>
  <c r="G12" i="2" s="1"/>
  <c r="F7" i="2"/>
  <c r="G7" i="2" s="1"/>
  <c r="F4" i="2"/>
  <c r="G4" i="2" s="1"/>
  <c r="B19" i="2"/>
  <c r="C4" i="2" a="1"/>
  <c r="C8" i="2" s="1"/>
  <c r="C7" i="3"/>
  <c r="C9" i="3"/>
  <c r="C6" i="3"/>
  <c r="C5" i="3"/>
  <c r="F13" i="3"/>
  <c r="G4" i="3"/>
  <c r="G13" i="3" s="1"/>
  <c r="G13" i="2"/>
  <c r="C26" i="1"/>
  <c r="D29" i="1" s="1"/>
  <c r="D26" i="1"/>
  <c r="D30" i="1" s="1"/>
  <c r="C13" i="3" l="1"/>
  <c r="C9" i="2"/>
  <c r="C4" i="2"/>
  <c r="C12" i="2"/>
  <c r="C11" i="2"/>
  <c r="D4" i="3" a="1"/>
  <c r="D11" i="3" s="1"/>
  <c r="E11" i="3" s="1"/>
  <c r="C6" i="2"/>
  <c r="C5" i="2"/>
  <c r="F13" i="2"/>
  <c r="C10" i="2"/>
  <c r="C7" i="2"/>
  <c r="D5" i="3" l="1"/>
  <c r="E5" i="3" s="1"/>
  <c r="D10" i="3"/>
  <c r="E10" i="3" s="1"/>
  <c r="D9" i="3"/>
  <c r="E9" i="3" s="1"/>
  <c r="D4" i="3"/>
  <c r="E4" i="3" s="1"/>
  <c r="D7" i="3"/>
  <c r="E7" i="3" s="1"/>
  <c r="D8" i="3"/>
  <c r="E8" i="3" s="1"/>
  <c r="D12" i="3"/>
  <c r="E12" i="3" s="1"/>
  <c r="D6" i="3"/>
  <c r="E6" i="3" s="1"/>
  <c r="C13" i="2"/>
  <c r="D4" i="2" a="1"/>
  <c r="E13" i="3" l="1"/>
  <c r="D13" i="3"/>
  <c r="D9" i="2"/>
  <c r="E9" i="2" s="1"/>
  <c r="D12" i="2"/>
  <c r="E12" i="2" s="1"/>
  <c r="D10" i="2"/>
  <c r="E10" i="2" s="1"/>
  <c r="D4" i="2"/>
  <c r="D6" i="2"/>
  <c r="E6" i="2" s="1"/>
  <c r="D8" i="2"/>
  <c r="E8" i="2" s="1"/>
  <c r="D5" i="2"/>
  <c r="E5" i="2" s="1"/>
  <c r="D11" i="2"/>
  <c r="E11" i="2" s="1"/>
  <c r="D7" i="2"/>
  <c r="E7" i="2" s="1"/>
  <c r="E4" i="2" l="1"/>
  <c r="E13" i="2" s="1"/>
  <c r="D13" i="2"/>
</calcChain>
</file>

<file path=xl/sharedStrings.xml><?xml version="1.0" encoding="utf-8"?>
<sst xmlns="http://schemas.openxmlformats.org/spreadsheetml/2006/main" count="149" uniqueCount="117">
  <si>
    <t>Find the expected value and its variance of the sum of number of points on faces of a dices when two dice are thrown.</t>
  </si>
  <si>
    <t>Let X be the r.v denoting the sum of points obtained from a pair of dice, X can take values 2,3,… 12 as follows</t>
  </si>
  <si>
    <t>X</t>
  </si>
  <si>
    <t>P(X=x)</t>
  </si>
  <si>
    <t>x.P(X=x)</t>
  </si>
  <si>
    <r>
      <t>x</t>
    </r>
    <r>
      <rPr>
        <vertAlign val="superscript"/>
        <sz val="11"/>
        <color theme="1"/>
        <rFont val="Calibri"/>
        <family val="2"/>
        <scheme val="minor"/>
      </rPr>
      <t>2.</t>
    </r>
    <r>
      <rPr>
        <sz val="11"/>
        <color theme="1"/>
        <rFont val="Calibri"/>
        <family val="2"/>
        <scheme val="minor"/>
      </rPr>
      <t>*P(X=x)</t>
    </r>
  </si>
  <si>
    <t>Total</t>
  </si>
  <si>
    <t>Mean</t>
  </si>
  <si>
    <t>E(X)</t>
  </si>
  <si>
    <t>Σx*P(X=x)</t>
  </si>
  <si>
    <t>From Table</t>
  </si>
  <si>
    <t>From formula</t>
  </si>
  <si>
    <t>Fromula</t>
  </si>
  <si>
    <t>Formula</t>
  </si>
  <si>
    <t>=SUMPRODUCT(A7:A17,B7:B17)</t>
  </si>
  <si>
    <t>=C18</t>
  </si>
  <si>
    <t>=SUM(C7:C17)</t>
  </si>
  <si>
    <t>=SUM(B7:B17)</t>
  </si>
  <si>
    <t>=SUM(D7:D17)</t>
  </si>
  <si>
    <r>
      <t>E(X</t>
    </r>
    <r>
      <rPr>
        <vertAlign val="superscript"/>
        <sz val="11"/>
        <color theme="1"/>
        <rFont val="Calibri"/>
        <family val="2"/>
        <scheme val="minor"/>
      </rPr>
      <t>2</t>
    </r>
    <r>
      <rPr>
        <sz val="11"/>
        <color theme="1"/>
        <rFont val="Calibri"/>
        <family val="2"/>
        <scheme val="minor"/>
      </rPr>
      <t>)</t>
    </r>
  </si>
  <si>
    <r>
      <rPr>
        <sz val="11"/>
        <color theme="1"/>
        <rFont val="Calibri"/>
        <family val="2"/>
      </rPr>
      <t>Σ</t>
    </r>
    <r>
      <rPr>
        <sz val="11"/>
        <color theme="1"/>
        <rFont val="Calibri"/>
        <family val="2"/>
        <scheme val="minor"/>
      </rPr>
      <t>x</t>
    </r>
    <r>
      <rPr>
        <vertAlign val="superscript"/>
        <sz val="11"/>
        <color theme="1"/>
        <rFont val="Calibri"/>
        <family val="2"/>
        <scheme val="minor"/>
      </rPr>
      <t>2.</t>
    </r>
    <r>
      <rPr>
        <sz val="11"/>
        <color theme="1"/>
        <rFont val="Calibri"/>
        <family val="2"/>
        <scheme val="minor"/>
      </rPr>
      <t>*P(X=x)</t>
    </r>
  </si>
  <si>
    <t>=D18</t>
  </si>
  <si>
    <t>Variance</t>
  </si>
  <si>
    <t>V(X)</t>
  </si>
  <si>
    <t>=D22-(D21)^2</t>
  </si>
  <si>
    <t>=SUMPRODUCT(A7:A17,A7:A17,B7:B17)</t>
  </si>
  <si>
    <t>=SUMPRODUCT(A7:A17,A7:A17,B7:B17)-(SUMPRODUCT(A7:A17,B7:B17))^2</t>
  </si>
  <si>
    <t>=A8*B8</t>
  </si>
  <si>
    <t>=(A8^2)*B8</t>
  </si>
  <si>
    <r>
      <t>E(X</t>
    </r>
    <r>
      <rPr>
        <vertAlign val="superscript"/>
        <sz val="11"/>
        <color theme="1"/>
        <rFont val="Calibri"/>
        <family val="2"/>
        <scheme val="minor"/>
      </rPr>
      <t>2</t>
    </r>
    <r>
      <rPr>
        <sz val="11"/>
        <color theme="1"/>
        <rFont val="Calibri"/>
        <family val="2"/>
        <scheme val="minor"/>
      </rPr>
      <t>)-(E(X))</t>
    </r>
    <r>
      <rPr>
        <vertAlign val="superscript"/>
        <sz val="11"/>
        <color theme="1"/>
        <rFont val="Calibri"/>
        <family val="2"/>
        <scheme val="minor"/>
      </rPr>
      <t>2</t>
    </r>
  </si>
  <si>
    <t>x</t>
  </si>
  <si>
    <t>f</t>
  </si>
  <si>
    <t>p(x)</t>
  </si>
  <si>
    <t>Expected frequency</t>
  </si>
  <si>
    <t>here</t>
  </si>
  <si>
    <t>formula</t>
  </si>
  <si>
    <t>n</t>
  </si>
  <si>
    <t>=MAX(A5:A13)</t>
  </si>
  <si>
    <t>mean</t>
  </si>
  <si>
    <t>=SUMPRODUCT(A5:A13,B5:B13)/SUM(B5:B13)</t>
  </si>
  <si>
    <t>p</t>
  </si>
  <si>
    <t>=B18/B17</t>
  </si>
  <si>
    <t>q</t>
  </si>
  <si>
    <t>=1-B19</t>
  </si>
  <si>
    <t>P(x&lt;3)</t>
  </si>
  <si>
    <t>=BINOMDIST(C22,B17,B19,TRUE)</t>
  </si>
  <si>
    <t>P(x&lt;=3)</t>
  </si>
  <si>
    <t>=BINOMDIST(C23,B17,B19,TRUE)</t>
  </si>
  <si>
    <t>P(x=3)</t>
  </si>
  <si>
    <t>=BINOMDIST(C24,B17,B19,FALSE)</t>
  </si>
  <si>
    <t>P(xnot equal 3)</t>
  </si>
  <si>
    <t>=1-BINOMDIST(C25,B17,B19,FALSE)</t>
  </si>
  <si>
    <t>P(x&gt;3)</t>
  </si>
  <si>
    <t>=1-BINOMDIST(C26,B17,B19,TRUE)</t>
  </si>
  <si>
    <t>λ</t>
  </si>
  <si>
    <r>
      <t>P(x</t>
    </r>
    <r>
      <rPr>
        <sz val="11"/>
        <color theme="1"/>
        <rFont val="Calibri"/>
        <family val="2"/>
      </rPr>
      <t>≠</t>
    </r>
    <r>
      <rPr>
        <sz val="11"/>
        <color theme="1"/>
        <rFont val="Calibri"/>
        <family val="2"/>
        <scheme val="minor"/>
      </rPr>
      <t xml:space="preserve"> 3)</t>
    </r>
  </si>
  <si>
    <t>=POISSON(C22,B18,TRUE)</t>
  </si>
  <si>
    <t>=POISSON(C23,B18,TRUE)</t>
  </si>
  <si>
    <t>=POISSON(C24,B18,FALSE)</t>
  </si>
  <si>
    <t>=1-POISSON(C25,B18,FALSE)</t>
  </si>
  <si>
    <t>=1-POISSON(C26,B18,TRUE)</t>
  </si>
  <si>
    <t>Rounded Expected frequency</t>
  </si>
  <si>
    <t>class</t>
  </si>
  <si>
    <t>frequency</t>
  </si>
  <si>
    <t>LCB</t>
  </si>
  <si>
    <t>UCB</t>
  </si>
  <si>
    <t>midvalue</t>
  </si>
  <si>
    <t>P(X&lt;x)</t>
  </si>
  <si>
    <t>p(x1&lt;x&lt;x2)</t>
  </si>
  <si>
    <t>Expected Frequency</t>
  </si>
  <si>
    <t>0-10</t>
  </si>
  <si>
    <t>10-20</t>
  </si>
  <si>
    <t>20-30</t>
  </si>
  <si>
    <t>30-40</t>
  </si>
  <si>
    <t>40-50</t>
  </si>
  <si>
    <t>50-60</t>
  </si>
  <si>
    <t>60-70</t>
  </si>
  <si>
    <t>70-80</t>
  </si>
  <si>
    <t>80-90</t>
  </si>
  <si>
    <t>90-100</t>
  </si>
  <si>
    <t>N</t>
  </si>
  <si>
    <t>P(x1&lt;X&lt;x2)</t>
  </si>
  <si>
    <t>variance</t>
  </si>
  <si>
    <t>expected frequency</t>
  </si>
  <si>
    <t>st.dev.</t>
  </si>
  <si>
    <t>Probability</t>
  </si>
  <si>
    <t>P(X&lt;45)</t>
  </si>
  <si>
    <t>=NORMDIST(C157,B151,B153,TRUE)</t>
  </si>
  <si>
    <t>p(40&lt;X&lt;60)</t>
  </si>
  <si>
    <t>=NORMDIST(D158,B151,B153,TRUE)-NORMDIST(C158,B151,B153,TRUE)</t>
  </si>
  <si>
    <t>P(40&lt;X&gt;60)</t>
  </si>
  <si>
    <t>=1-(NORMDIST(C159,B151,B153,TRUE)-NORMDIST(B159,B151,B153,TRUE))</t>
  </si>
  <si>
    <t>p(x&gt;60)</t>
  </si>
  <si>
    <t>=1-NORMDIST(B160,B151,B153,TRUE)</t>
  </si>
  <si>
    <t>=BINOMDIST(A6:A14,B18,B20,FALSE)</t>
  </si>
  <si>
    <t>=B15*C6:C14</t>
  </si>
  <si>
    <t>=ROUND(D6,0)</t>
  </si>
  <si>
    <t>=BINOMDIST(A6,$B$18,$B$20,FALSE)</t>
  </si>
  <si>
    <t>=$B$15*F6:F14</t>
  </si>
  <si>
    <t>=NORMDIST(C5:C16,B22,B24,TRUE)</t>
  </si>
  <si>
    <t>=NORMDIST(D6,$B$22,$B$24,TRUE)-NORMDIST(C6,$B$22,$B$24,TRUE)</t>
  </si>
  <si>
    <t>=$B$21*G6</t>
  </si>
  <si>
    <t>=COUNTIF($Q$3:$V$8,A8)/COUNT($Q$3:$V$8)</t>
  </si>
  <si>
    <t>fit Binomial distribution and find the probabilities of less then 3,less than equal to 3, 3, not equals to 3 and greater than 3.</t>
  </si>
  <si>
    <t>fit Poisson distribution and find the probabilities of less then 3,less than equal to 3, 3, not equals to 3 and greater than 3.</t>
  </si>
  <si>
    <t>=POISSON(A4:A12,B17,FALSE)</t>
  </si>
  <si>
    <t>=B13*C4:C12</t>
  </si>
  <si>
    <t>=ROUND(D4,0)</t>
  </si>
  <si>
    <t>=POISSON(A4,$B$17,FALSE)</t>
  </si>
  <si>
    <t>=$B$13*F4</t>
  </si>
  <si>
    <t>Fit the Normal distribution find probabilities and find the probability of less than 45, between 40 to 60 and not between 40 to 60 and greater than 60.</t>
  </si>
  <si>
    <t>=SUM(B4:B14)</t>
  </si>
  <si>
    <t>=AVERAGE(C5:D5)</t>
  </si>
  <si>
    <t>=NORMDIST(C4:C15,B21,B23,TRUE)</t>
  </si>
  <si>
    <t>=NORMDIST(D4,$B$21,$B$23,TRUE)-NORMDIST(C4,$B$21,$B$23,TRUE)</t>
  </si>
  <si>
    <t>=$B$20*G4</t>
  </si>
  <si>
    <r>
      <t>Note:---in this case two dice are thrown and sum is the random variable.first table shows the possible sum of the outcomes of two dice. Second table is the table to calculate the E(X), E(X</t>
    </r>
    <r>
      <rPr>
        <vertAlign val="superscript"/>
        <sz val="11"/>
        <color theme="1"/>
        <rFont val="Calibri"/>
        <family val="2"/>
        <scheme val="minor"/>
      </rPr>
      <t>2</t>
    </r>
    <r>
      <rPr>
        <sz val="11"/>
        <color theme="1"/>
        <rFont val="Calibri"/>
        <family val="2"/>
        <scheme val="minor"/>
      </rPr>
      <t>) and V(X) when we calcualte as in theory.third part is the calculation of the valus using excel relations. formula column in column E is the calculation using usual method while formula column in Column G is the formula using sumproduct formula in excel.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</si>
</sst>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
    <numFmt numFmtId="165" formatCode="0.00000"/>
    <numFmt numFmtId="166" formatCode="0.0000"/>
    <numFmt numFmtId="167" formatCode="0.000"/>
  </numFmts>
  <fonts count="3" x14ac:knownFonts="1">
    <font>
      <sz val="11"/>
      <color theme="1"/>
      <name val="Calibri"/>
      <family val="2"/>
      <scheme val="minor"/>
    </font>
    <font>
      <vertAlign val="superscript"/>
      <sz val="11"/>
      <color theme="1"/>
      <name val="Calibri"/>
      <family val="2"/>
      <scheme val="minor"/>
    </font>
    <font>
      <sz val="11"/>
      <color theme="1"/>
      <name val="Calibri"/>
      <family val="2"/>
    </font>
  </fonts>
  <fills count="3">
    <fill>
      <patternFill patternType="none"/>
    </fill>
    <fill>
      <patternFill patternType="gray125"/>
    </fill>
    <fill>
      <patternFill patternType="solid">
        <fgColor theme="0" tint="-0.149998474074526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35">
    <xf numFmtId="0" fontId="0" fillId="0" borderId="0" xfId="0"/>
    <xf numFmtId="0" fontId="0" fillId="0" borderId="1" xfId="0" applyBorder="1"/>
    <xf numFmtId="0" fontId="0" fillId="0" borderId="0" xfId="0" quotePrefix="1"/>
    <xf numFmtId="0" fontId="0" fillId="2" borderId="1" xfId="0" applyFill="1" applyBorder="1"/>
    <xf numFmtId="0" fontId="0" fillId="2" borderId="0" xfId="0" applyFill="1"/>
    <xf numFmtId="0" fontId="0" fillId="2" borderId="2" xfId="0" applyFill="1" applyBorder="1"/>
    <xf numFmtId="0" fontId="2" fillId="0" borderId="1" xfId="0" applyFont="1" applyBorder="1"/>
    <xf numFmtId="0" fontId="0" fillId="0" borderId="1" xfId="0" quotePrefix="1" applyBorder="1"/>
    <xf numFmtId="0" fontId="0" fillId="0" borderId="1" xfId="0" quotePrefix="1" applyBorder="1" applyAlignment="1">
      <alignment wrapText="1"/>
    </xf>
    <xf numFmtId="0" fontId="0" fillId="0" borderId="1" xfId="0" applyBorder="1" applyAlignment="1">
      <alignment wrapText="1"/>
    </xf>
    <xf numFmtId="49" fontId="0" fillId="0" borderId="1" xfId="0" applyNumberFormat="1" applyBorder="1"/>
    <xf numFmtId="164" fontId="0" fillId="0" borderId="1" xfId="0" applyNumberFormat="1" applyBorder="1"/>
    <xf numFmtId="165" fontId="0" fillId="0" borderId="1" xfId="0" applyNumberFormat="1" applyBorder="1"/>
    <xf numFmtId="166" fontId="0" fillId="0" borderId="1" xfId="0" applyNumberFormat="1" applyBorder="1"/>
    <xf numFmtId="0" fontId="0" fillId="2" borderId="1" xfId="0" applyFill="1" applyBorder="1" applyAlignment="1">
      <alignment wrapText="1"/>
    </xf>
    <xf numFmtId="0" fontId="0" fillId="2" borderId="1" xfId="0" quotePrefix="1" applyFill="1" applyBorder="1" applyAlignment="1">
      <alignment wrapText="1"/>
    </xf>
    <xf numFmtId="167" fontId="0" fillId="0" borderId="1" xfId="0" applyNumberFormat="1" applyBorder="1"/>
    <xf numFmtId="11" fontId="0" fillId="0" borderId="1" xfId="0" applyNumberFormat="1" applyBorder="1"/>
    <xf numFmtId="1" fontId="0" fillId="0" borderId="1" xfId="0" applyNumberFormat="1" applyBorder="1"/>
    <xf numFmtId="0" fontId="0" fillId="0" borderId="0" xfId="0" quotePrefix="1" applyAlignment="1">
      <alignment wrapText="1"/>
    </xf>
    <xf numFmtId="0" fontId="0" fillId="0" borderId="0" xfId="0" applyAlignment="1">
      <alignment wrapText="1"/>
    </xf>
    <xf numFmtId="0" fontId="0" fillId="0" borderId="0" xfId="0" applyAlignment="1">
      <alignment horizontal="left" wrapText="1"/>
    </xf>
    <xf numFmtId="0" fontId="0" fillId="0" borderId="1" xfId="0" applyBorder="1" applyAlignment="1">
      <alignment horizontal="left" vertical="top" wrapText="1"/>
    </xf>
    <xf numFmtId="0" fontId="0" fillId="0" borderId="1" xfId="0" quotePrefix="1" applyBorder="1" applyAlignment="1">
      <alignment horizontal="left" wrapText="1"/>
    </xf>
    <xf numFmtId="0" fontId="0" fillId="0" borderId="6" xfId="0" applyBorder="1" applyAlignment="1">
      <alignment horizontal="left" wrapText="1"/>
    </xf>
    <xf numFmtId="0" fontId="0" fillId="0" borderId="1" xfId="0" applyBorder="1" applyAlignment="1">
      <alignment horizontal="left"/>
    </xf>
    <xf numFmtId="0" fontId="0" fillId="0" borderId="1" xfId="0" quotePrefix="1" applyBorder="1" applyAlignment="1">
      <alignment horizontal="left"/>
    </xf>
    <xf numFmtId="0" fontId="0" fillId="0" borderId="1" xfId="0" applyBorder="1" applyAlignment="1">
      <alignment horizontal="center"/>
    </xf>
    <xf numFmtId="0" fontId="0" fillId="0" borderId="3" xfId="0" quotePrefix="1" applyBorder="1" applyAlignment="1">
      <alignment horizontal="left" wrapText="1"/>
    </xf>
    <xf numFmtId="0" fontId="0" fillId="0" borderId="4" xfId="0" quotePrefix="1" applyBorder="1" applyAlignment="1">
      <alignment horizontal="left" wrapText="1"/>
    </xf>
    <xf numFmtId="0" fontId="0" fillId="0" borderId="5" xfId="0" quotePrefix="1" applyBorder="1" applyAlignment="1">
      <alignment horizontal="left" wrapText="1"/>
    </xf>
    <xf numFmtId="0" fontId="0" fillId="0" borderId="6" xfId="0" applyBorder="1" applyAlignment="1">
      <alignment horizontal="left"/>
    </xf>
    <xf numFmtId="0" fontId="0" fillId="0" borderId="3" xfId="0" quotePrefix="1" applyBorder="1" applyAlignment="1">
      <alignment horizontal="left"/>
    </xf>
    <xf numFmtId="0" fontId="0" fillId="0" borderId="4" xfId="0" quotePrefix="1" applyBorder="1" applyAlignment="1">
      <alignment horizontal="left"/>
    </xf>
    <xf numFmtId="0" fontId="0" fillId="0" borderId="5" xfId="0" quotePrefix="1" applyBorder="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31"/>
  <sheetViews>
    <sheetView tabSelected="1" view="pageLayout" topLeftCell="A6" zoomScaleNormal="175" workbookViewId="0">
      <selection activeCell="D31" sqref="D31"/>
    </sheetView>
  </sheetViews>
  <sheetFormatPr defaultRowHeight="14.5" x14ac:dyDescent="0.35"/>
  <cols>
    <col min="2" max="2" width="11.453125" customWidth="1"/>
    <col min="3" max="3" width="10.26953125" customWidth="1"/>
    <col min="4" max="4" width="9.81640625" customWidth="1"/>
    <col min="5" max="5" width="7.54296875" customWidth="1"/>
    <col min="6" max="6" width="7.453125" customWidth="1"/>
    <col min="7" max="7" width="31.7265625" customWidth="1"/>
  </cols>
  <sheetData>
    <row r="1" spans="1:8" ht="15" customHeight="1" x14ac:dyDescent="0.35">
      <c r="A1" s="21" t="s">
        <v>0</v>
      </c>
      <c r="B1" s="21"/>
      <c r="C1" s="21"/>
      <c r="D1" s="21"/>
      <c r="E1" s="21"/>
      <c r="F1" s="21"/>
      <c r="G1" s="21"/>
      <c r="H1" s="20"/>
    </row>
    <row r="3" spans="1:8" ht="31.5" customHeight="1" x14ac:dyDescent="0.35">
      <c r="A3" s="21" t="s">
        <v>1</v>
      </c>
      <c r="B3" s="21"/>
      <c r="C3" s="21"/>
      <c r="D3" s="21"/>
      <c r="E3" s="21"/>
      <c r="F3" s="21"/>
      <c r="G3" s="21"/>
      <c r="H3" s="20"/>
    </row>
    <row r="5" spans="1:8" x14ac:dyDescent="0.35">
      <c r="A5" s="1"/>
      <c r="B5" s="3">
        <v>1</v>
      </c>
      <c r="C5" s="3">
        <v>2</v>
      </c>
      <c r="D5" s="3">
        <v>3</v>
      </c>
      <c r="E5" s="3">
        <v>4</v>
      </c>
      <c r="F5" s="3">
        <v>5</v>
      </c>
      <c r="G5" s="3">
        <v>6</v>
      </c>
    </row>
    <row r="6" spans="1:8" x14ac:dyDescent="0.35">
      <c r="A6" s="3">
        <v>1</v>
      </c>
      <c r="B6" s="1">
        <v>2</v>
      </c>
      <c r="C6" s="1">
        <v>3</v>
      </c>
      <c r="D6" s="1">
        <v>4</v>
      </c>
      <c r="E6" s="1">
        <v>5</v>
      </c>
      <c r="F6" s="1">
        <v>6</v>
      </c>
      <c r="G6" s="1">
        <v>7</v>
      </c>
    </row>
    <row r="7" spans="1:8" x14ac:dyDescent="0.35">
      <c r="A7" s="3">
        <v>2</v>
      </c>
      <c r="B7" s="1">
        <v>3</v>
      </c>
      <c r="C7" s="1">
        <v>4</v>
      </c>
      <c r="D7" s="1">
        <v>5</v>
      </c>
      <c r="E7" s="1">
        <v>6</v>
      </c>
      <c r="F7" s="1">
        <v>7</v>
      </c>
      <c r="G7" s="1">
        <v>8</v>
      </c>
    </row>
    <row r="8" spans="1:8" x14ac:dyDescent="0.35">
      <c r="A8" s="3">
        <v>3</v>
      </c>
      <c r="B8" s="1">
        <v>4</v>
      </c>
      <c r="C8" s="1">
        <v>5</v>
      </c>
      <c r="D8" s="1">
        <v>6</v>
      </c>
      <c r="E8" s="1">
        <v>7</v>
      </c>
      <c r="F8" s="1">
        <v>8</v>
      </c>
      <c r="G8" s="1">
        <v>9</v>
      </c>
    </row>
    <row r="9" spans="1:8" x14ac:dyDescent="0.35">
      <c r="A9" s="3">
        <v>4</v>
      </c>
      <c r="B9" s="1">
        <v>5</v>
      </c>
      <c r="C9" s="1">
        <v>6</v>
      </c>
      <c r="D9" s="1">
        <v>7</v>
      </c>
      <c r="E9" s="1">
        <v>8</v>
      </c>
      <c r="F9" s="1">
        <v>9</v>
      </c>
      <c r="G9" s="1">
        <v>10</v>
      </c>
    </row>
    <row r="10" spans="1:8" x14ac:dyDescent="0.35">
      <c r="A10" s="3">
        <v>5</v>
      </c>
      <c r="B10" s="1">
        <v>6</v>
      </c>
      <c r="C10" s="1">
        <v>7</v>
      </c>
      <c r="D10" s="1">
        <v>8</v>
      </c>
      <c r="E10" s="1">
        <v>9</v>
      </c>
      <c r="F10" s="1">
        <v>10</v>
      </c>
      <c r="G10" s="1">
        <v>11</v>
      </c>
    </row>
    <row r="11" spans="1:8" x14ac:dyDescent="0.35">
      <c r="A11" s="3">
        <v>6</v>
      </c>
      <c r="B11" s="1">
        <v>7</v>
      </c>
      <c r="C11" s="1">
        <v>8</v>
      </c>
      <c r="D11" s="1">
        <v>9</v>
      </c>
      <c r="E11" s="1">
        <v>10</v>
      </c>
      <c r="F11" s="1">
        <v>11</v>
      </c>
      <c r="G11" s="1">
        <v>12</v>
      </c>
    </row>
    <row r="13" spans="1:8" ht="16.5" x14ac:dyDescent="0.35">
      <c r="A13" s="3" t="s">
        <v>2</v>
      </c>
      <c r="B13" s="3" t="s">
        <v>3</v>
      </c>
      <c r="C13" s="3" t="s">
        <v>4</v>
      </c>
      <c r="D13" s="3" t="s">
        <v>5</v>
      </c>
      <c r="F13" s="22" t="s">
        <v>116</v>
      </c>
      <c r="G13" s="22"/>
    </row>
    <row r="14" spans="1:8" ht="69" customHeight="1" x14ac:dyDescent="0.35">
      <c r="A14" s="1"/>
      <c r="B14" s="8" t="s">
        <v>102</v>
      </c>
      <c r="C14" s="7" t="s">
        <v>27</v>
      </c>
      <c r="D14" s="7" t="s">
        <v>28</v>
      </c>
      <c r="F14" s="22"/>
      <c r="G14" s="22"/>
    </row>
    <row r="15" spans="1:8" x14ac:dyDescent="0.35">
      <c r="A15" s="1">
        <v>2</v>
      </c>
      <c r="B15" s="13">
        <f>COUNTIF($B$6:$G$11,A15)/COUNT($B$6:$G$11)</f>
        <v>2.7777777777777776E-2</v>
      </c>
      <c r="C15" s="13">
        <f>A15*B15</f>
        <v>5.5555555555555552E-2</v>
      </c>
      <c r="D15" s="13">
        <f>(A15^2)*B15</f>
        <v>0.1111111111111111</v>
      </c>
      <c r="F15" s="22"/>
      <c r="G15" s="22"/>
    </row>
    <row r="16" spans="1:8" x14ac:dyDescent="0.35">
      <c r="A16" s="1">
        <v>3</v>
      </c>
      <c r="B16" s="13">
        <f t="shared" ref="B15:B25" si="0">COUNTIF($B$6:$G$11,A16)/COUNT($B$6:$G$11)</f>
        <v>5.5555555555555552E-2</v>
      </c>
      <c r="C16" s="13">
        <f t="shared" ref="C16" si="1">A16*B16</f>
        <v>0.16666666666666666</v>
      </c>
      <c r="D16" s="13">
        <f t="shared" ref="D16:D25" si="2">(A16^2)*B16</f>
        <v>0.5</v>
      </c>
      <c r="F16" s="22"/>
      <c r="G16" s="22"/>
    </row>
    <row r="17" spans="1:7" ht="15" customHeight="1" x14ac:dyDescent="0.35">
      <c r="A17" s="1">
        <v>4</v>
      </c>
      <c r="B17" s="13">
        <f t="shared" si="0"/>
        <v>8.3333333333333329E-2</v>
      </c>
      <c r="C17" s="13">
        <f t="shared" ref="C17" si="3">A17*B17</f>
        <v>0.33333333333333331</v>
      </c>
      <c r="D17" s="13">
        <f t="shared" si="2"/>
        <v>1.3333333333333333</v>
      </c>
      <c r="F17" s="22"/>
      <c r="G17" s="22"/>
    </row>
    <row r="18" spans="1:7" ht="13.5" customHeight="1" x14ac:dyDescent="0.35">
      <c r="A18" s="1">
        <v>5</v>
      </c>
      <c r="B18" s="13">
        <f t="shared" si="0"/>
        <v>0.1111111111111111</v>
      </c>
      <c r="C18" s="13">
        <f t="shared" ref="C18" si="4">A18*B18</f>
        <v>0.55555555555555558</v>
      </c>
      <c r="D18" s="13">
        <f t="shared" si="2"/>
        <v>2.7777777777777777</v>
      </c>
      <c r="F18" s="22"/>
      <c r="G18" s="22"/>
    </row>
    <row r="19" spans="1:7" ht="16.5" customHeight="1" x14ac:dyDescent="0.35">
      <c r="A19" s="1">
        <v>6</v>
      </c>
      <c r="B19" s="13">
        <f t="shared" si="0"/>
        <v>0.1388888888888889</v>
      </c>
      <c r="C19" s="13">
        <f t="shared" ref="C19" si="5">A19*B19</f>
        <v>0.83333333333333337</v>
      </c>
      <c r="D19" s="18">
        <f t="shared" si="2"/>
        <v>5</v>
      </c>
      <c r="F19" s="22"/>
      <c r="G19" s="22"/>
    </row>
    <row r="20" spans="1:7" x14ac:dyDescent="0.35">
      <c r="A20" s="1">
        <v>7</v>
      </c>
      <c r="B20" s="13">
        <f t="shared" si="0"/>
        <v>0.16666666666666666</v>
      </c>
      <c r="C20" s="13">
        <f t="shared" ref="C20" si="6">A20*B20</f>
        <v>1.1666666666666665</v>
      </c>
      <c r="D20" s="13">
        <f t="shared" si="2"/>
        <v>8.1666666666666661</v>
      </c>
      <c r="F20" s="22"/>
      <c r="G20" s="22"/>
    </row>
    <row r="21" spans="1:7" x14ac:dyDescent="0.35">
      <c r="A21" s="1">
        <v>8</v>
      </c>
      <c r="B21" s="13">
        <f t="shared" si="0"/>
        <v>0.1388888888888889</v>
      </c>
      <c r="C21" s="13">
        <f t="shared" ref="C21" si="7">A21*B21</f>
        <v>1.1111111111111112</v>
      </c>
      <c r="D21" s="13">
        <f t="shared" si="2"/>
        <v>8.8888888888888893</v>
      </c>
      <c r="F21" s="22"/>
      <c r="G21" s="22"/>
    </row>
    <row r="22" spans="1:7" x14ac:dyDescent="0.35">
      <c r="A22" s="1">
        <v>9</v>
      </c>
      <c r="B22" s="13">
        <f t="shared" si="0"/>
        <v>0.1111111111111111</v>
      </c>
      <c r="C22" s="13">
        <f t="shared" ref="C22" si="8">A22*B22</f>
        <v>1</v>
      </c>
      <c r="D22" s="18">
        <f t="shared" si="2"/>
        <v>9</v>
      </c>
      <c r="F22" s="22"/>
      <c r="G22" s="22"/>
    </row>
    <row r="23" spans="1:7" x14ac:dyDescent="0.35">
      <c r="A23" s="1">
        <v>10</v>
      </c>
      <c r="B23" s="13">
        <f t="shared" si="0"/>
        <v>8.3333333333333329E-2</v>
      </c>
      <c r="C23" s="13">
        <f t="shared" ref="C23" si="9">A23*B23</f>
        <v>0.83333333333333326</v>
      </c>
      <c r="D23" s="13">
        <f t="shared" si="2"/>
        <v>8.3333333333333321</v>
      </c>
      <c r="F23" s="22"/>
      <c r="G23" s="22"/>
    </row>
    <row r="24" spans="1:7" x14ac:dyDescent="0.35">
      <c r="A24" s="1">
        <v>11</v>
      </c>
      <c r="B24" s="13">
        <f t="shared" si="0"/>
        <v>5.5555555555555552E-2</v>
      </c>
      <c r="C24" s="13">
        <f t="shared" ref="C24" si="10">A24*B24</f>
        <v>0.61111111111111105</v>
      </c>
      <c r="D24" s="13">
        <f t="shared" si="2"/>
        <v>6.7222222222222214</v>
      </c>
      <c r="F24" s="22"/>
      <c r="G24" s="22"/>
    </row>
    <row r="25" spans="1:7" x14ac:dyDescent="0.35">
      <c r="A25" s="1">
        <v>12</v>
      </c>
      <c r="B25" s="13">
        <f t="shared" si="0"/>
        <v>2.7777777777777776E-2</v>
      </c>
      <c r="C25" s="13">
        <f t="shared" ref="C25" si="11">A25*B25</f>
        <v>0.33333333333333331</v>
      </c>
      <c r="D25" s="18">
        <f t="shared" si="2"/>
        <v>4</v>
      </c>
      <c r="F25" s="22"/>
      <c r="G25" s="22"/>
    </row>
    <row r="26" spans="1:7" x14ac:dyDescent="0.35">
      <c r="A26" s="4" t="s">
        <v>6</v>
      </c>
      <c r="B26" s="5">
        <f>SUM(B15:B25)</f>
        <v>1.0000000000000002</v>
      </c>
      <c r="C26" s="5">
        <f>SUM(C15:C25)</f>
        <v>6.9999999999999991</v>
      </c>
      <c r="D26" s="5">
        <f>SUM(D15:D25)</f>
        <v>54.833333333333321</v>
      </c>
      <c r="F26" s="22"/>
      <c r="G26" s="22"/>
    </row>
    <row r="27" spans="1:7" ht="30" customHeight="1" x14ac:dyDescent="0.35">
      <c r="A27" t="s">
        <v>13</v>
      </c>
      <c r="B27" s="19" t="s">
        <v>17</v>
      </c>
      <c r="C27" s="19" t="s">
        <v>16</v>
      </c>
      <c r="D27" s="19" t="s">
        <v>18</v>
      </c>
      <c r="F27" s="20"/>
    </row>
    <row r="28" spans="1:7" ht="29" x14ac:dyDescent="0.35">
      <c r="A28" s="1"/>
      <c r="B28" s="1"/>
      <c r="C28" s="1"/>
      <c r="D28" s="9" t="s">
        <v>10</v>
      </c>
      <c r="E28" s="9" t="s">
        <v>12</v>
      </c>
      <c r="F28" s="9" t="s">
        <v>11</v>
      </c>
      <c r="G28" s="1" t="s">
        <v>13</v>
      </c>
    </row>
    <row r="29" spans="1:7" ht="17.25" customHeight="1" x14ac:dyDescent="0.35">
      <c r="A29" s="1" t="s">
        <v>7</v>
      </c>
      <c r="B29" s="1" t="s">
        <v>8</v>
      </c>
      <c r="C29" s="6" t="s">
        <v>9</v>
      </c>
      <c r="D29" s="1">
        <f>C26</f>
        <v>6.9999999999999991</v>
      </c>
      <c r="E29" s="7" t="s">
        <v>15</v>
      </c>
      <c r="F29" s="1">
        <f>SUMPRODUCT(A15:A25,B15:B25)</f>
        <v>6.9999999999999991</v>
      </c>
      <c r="G29" s="8" t="s">
        <v>14</v>
      </c>
    </row>
    <row r="30" spans="1:7" ht="30.75" customHeight="1" x14ac:dyDescent="0.35">
      <c r="A30" s="1"/>
      <c r="B30" s="1" t="s">
        <v>19</v>
      </c>
      <c r="C30" s="1" t="s">
        <v>20</v>
      </c>
      <c r="D30" s="16">
        <f>D26</f>
        <v>54.833333333333321</v>
      </c>
      <c r="E30" s="7" t="s">
        <v>21</v>
      </c>
      <c r="F30" s="16">
        <f>SUMPRODUCT(A15:A25,A15:A25,B15:B25)</f>
        <v>54.833333333333321</v>
      </c>
      <c r="G30" s="8" t="s">
        <v>25</v>
      </c>
    </row>
    <row r="31" spans="1:7" ht="44.25" customHeight="1" x14ac:dyDescent="0.35">
      <c r="A31" s="1" t="s">
        <v>22</v>
      </c>
      <c r="B31" s="1" t="s">
        <v>23</v>
      </c>
      <c r="C31" s="1" t="s">
        <v>29</v>
      </c>
      <c r="D31" s="16">
        <f>D30-(D29)^2</f>
        <v>5.8333333333333357</v>
      </c>
      <c r="E31" s="8" t="s">
        <v>24</v>
      </c>
      <c r="F31" s="16">
        <f>SUMPRODUCT(A15:A25,A15:A25,B15:B25)-(SUMPRODUCT(A15:A25,B15:B25)^2)</f>
        <v>5.8333333333333357</v>
      </c>
      <c r="G31" s="8" t="s">
        <v>26</v>
      </c>
    </row>
  </sheetData>
  <mergeCells count="3">
    <mergeCell ref="A1:G1"/>
    <mergeCell ref="A3:G3"/>
    <mergeCell ref="F13:G26"/>
  </mergeCells>
  <printOptions headings="1" gridLines="1"/>
  <pageMargins left="0.25" right="0.25"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25"/>
  <sheetViews>
    <sheetView view="pageLayout" zoomScaleNormal="160" workbookViewId="0">
      <selection sqref="A1:G1"/>
    </sheetView>
  </sheetViews>
  <sheetFormatPr defaultRowHeight="14.5" x14ac:dyDescent="0.35"/>
  <cols>
    <col min="2" max="2" width="14.54296875" bestFit="1" customWidth="1"/>
    <col min="3" max="3" width="12.7265625" customWidth="1"/>
    <col min="6" max="6" width="12.54296875" customWidth="1"/>
  </cols>
  <sheetData>
    <row r="1" spans="1:7" ht="32.25" customHeight="1" x14ac:dyDescent="0.35">
      <c r="A1" s="24" t="s">
        <v>103</v>
      </c>
      <c r="B1" s="24"/>
      <c r="C1" s="24"/>
      <c r="D1" s="24"/>
      <c r="E1" s="24"/>
      <c r="F1" s="24"/>
      <c r="G1" s="24"/>
    </row>
    <row r="2" spans="1:7" ht="58" x14ac:dyDescent="0.35">
      <c r="A2" s="3" t="s">
        <v>30</v>
      </c>
      <c r="B2" s="3" t="s">
        <v>31</v>
      </c>
      <c r="C2" s="3" t="s">
        <v>32</v>
      </c>
      <c r="D2" s="14" t="s">
        <v>33</v>
      </c>
      <c r="E2" s="14" t="s">
        <v>61</v>
      </c>
      <c r="F2" s="3" t="s">
        <v>32</v>
      </c>
      <c r="G2" s="14" t="s">
        <v>33</v>
      </c>
    </row>
    <row r="3" spans="1:7" ht="43.5" x14ac:dyDescent="0.35">
      <c r="A3" s="3"/>
      <c r="B3" s="3"/>
      <c r="C3" s="15" t="s">
        <v>94</v>
      </c>
      <c r="D3" s="15" t="s">
        <v>95</v>
      </c>
      <c r="E3" s="15" t="s">
        <v>96</v>
      </c>
      <c r="F3" s="15" t="s">
        <v>97</v>
      </c>
      <c r="G3" s="15" t="s">
        <v>98</v>
      </c>
    </row>
    <row r="4" spans="1:7" x14ac:dyDescent="0.35">
      <c r="A4" s="1">
        <v>0</v>
      </c>
      <c r="B4" s="1">
        <v>20</v>
      </c>
      <c r="C4" s="13">
        <f t="array" ref="C4:C12">BINOMDIST(A4:A12,B16,B18,FALSE)</f>
        <v>3.5647366467153915E-3</v>
      </c>
      <c r="D4" s="16">
        <f t="array" ref="D4:D12">B13*C4:C12</f>
        <v>5.6429781117504652</v>
      </c>
      <c r="E4" s="1">
        <f>ROUND(D4,0)</f>
        <v>6</v>
      </c>
      <c r="F4" s="13">
        <f t="shared" ref="F4:F12" si="0">BINOMDIST(A4,$B$16,$B$18,FALSE)</f>
        <v>3.5647366467153915E-3</v>
      </c>
      <c r="G4" s="16">
        <f>$B$13*F4:F12</f>
        <v>5.6429781117504652</v>
      </c>
    </row>
    <row r="5" spans="1:7" x14ac:dyDescent="0.35">
      <c r="A5" s="1">
        <v>1</v>
      </c>
      <c r="B5" s="1">
        <v>100</v>
      </c>
      <c r="C5" s="13">
        <v>2.9173895828198564E-2</v>
      </c>
      <c r="D5" s="16">
        <v>46.182277096038327</v>
      </c>
      <c r="E5" s="1">
        <f t="shared" ref="E5:E12" si="1">ROUND(D5,0)</f>
        <v>46</v>
      </c>
      <c r="F5" s="13">
        <f t="shared" si="0"/>
        <v>2.9173895828198564E-2</v>
      </c>
      <c r="G5" s="16">
        <f t="shared" ref="G5:G12" si="2">$B$13*F5:F13</f>
        <v>46.182277096038327</v>
      </c>
    </row>
    <row r="6" spans="1:7" x14ac:dyDescent="0.35">
      <c r="A6" s="1">
        <v>2</v>
      </c>
      <c r="B6" s="1">
        <v>190</v>
      </c>
      <c r="C6" s="13">
        <v>0.10445746023853716</v>
      </c>
      <c r="D6" s="16">
        <v>165.35615955760434</v>
      </c>
      <c r="E6" s="1">
        <f t="shared" si="1"/>
        <v>165</v>
      </c>
      <c r="F6" s="13">
        <f t="shared" si="0"/>
        <v>0.10445746023853716</v>
      </c>
      <c r="G6" s="16">
        <f t="shared" si="2"/>
        <v>165.35615955760434</v>
      </c>
    </row>
    <row r="7" spans="1:7" x14ac:dyDescent="0.35">
      <c r="A7" s="1">
        <v>3</v>
      </c>
      <c r="B7" s="1">
        <v>280</v>
      </c>
      <c r="C7" s="13">
        <v>0.2137206311078568</v>
      </c>
      <c r="D7" s="16">
        <v>338.31975904373729</v>
      </c>
      <c r="E7" s="1">
        <f t="shared" si="1"/>
        <v>338</v>
      </c>
      <c r="F7" s="13">
        <f t="shared" si="0"/>
        <v>0.2137206311078568</v>
      </c>
      <c r="G7" s="16">
        <f t="shared" si="2"/>
        <v>338.31975904373729</v>
      </c>
    </row>
    <row r="8" spans="1:7" x14ac:dyDescent="0.35">
      <c r="A8" s="1">
        <v>4</v>
      </c>
      <c r="B8" s="1">
        <v>350</v>
      </c>
      <c r="C8" s="13">
        <v>0.27329611054606928</v>
      </c>
      <c r="D8" s="16">
        <v>432.62774299442765</v>
      </c>
      <c r="E8" s="1">
        <f t="shared" si="1"/>
        <v>433</v>
      </c>
      <c r="F8" s="13">
        <f t="shared" si="0"/>
        <v>0.27329611054606928</v>
      </c>
      <c r="G8" s="16">
        <f t="shared" si="2"/>
        <v>432.62774299442765</v>
      </c>
    </row>
    <row r="9" spans="1:7" x14ac:dyDescent="0.35">
      <c r="A9" s="1">
        <v>5</v>
      </c>
      <c r="B9" s="1">
        <v>300</v>
      </c>
      <c r="C9" s="13">
        <v>0.22366623539131336</v>
      </c>
      <c r="D9" s="16">
        <v>354.06365062444905</v>
      </c>
      <c r="E9" s="1">
        <f t="shared" si="1"/>
        <v>354</v>
      </c>
      <c r="F9" s="13">
        <f t="shared" si="0"/>
        <v>0.22366623539131336</v>
      </c>
      <c r="G9" s="16">
        <f t="shared" si="2"/>
        <v>354.06365062444905</v>
      </c>
    </row>
    <row r="10" spans="1:7" x14ac:dyDescent="0.35">
      <c r="A10" s="1">
        <v>6</v>
      </c>
      <c r="B10" s="1">
        <v>220</v>
      </c>
      <c r="C10" s="13">
        <v>0.11440563669696253</v>
      </c>
      <c r="D10" s="16">
        <v>181.10412289129169</v>
      </c>
      <c r="E10" s="1">
        <f t="shared" si="1"/>
        <v>181</v>
      </c>
      <c r="F10" s="13">
        <f t="shared" si="0"/>
        <v>0.11440563669696253</v>
      </c>
      <c r="G10" s="16">
        <f t="shared" si="2"/>
        <v>181.10412289129169</v>
      </c>
    </row>
    <row r="11" spans="1:7" x14ac:dyDescent="0.35">
      <c r="A11" s="1">
        <v>7</v>
      </c>
      <c r="B11" s="1">
        <v>120</v>
      </c>
      <c r="C11" s="13">
        <v>3.3439237672631135E-2</v>
      </c>
      <c r="D11" s="16">
        <v>52.934313235775086</v>
      </c>
      <c r="E11" s="1">
        <f t="shared" si="1"/>
        <v>53</v>
      </c>
      <c r="F11" s="13">
        <f t="shared" si="0"/>
        <v>3.3439237672631135E-2</v>
      </c>
      <c r="G11" s="16">
        <f t="shared" si="2"/>
        <v>52.934313235775086</v>
      </c>
    </row>
    <row r="12" spans="1:7" x14ac:dyDescent="0.35">
      <c r="A12" s="1">
        <v>8</v>
      </c>
      <c r="B12" s="1">
        <v>3</v>
      </c>
      <c r="C12" s="13">
        <v>4.2760558717158479E-3</v>
      </c>
      <c r="D12" s="16">
        <v>6.768996444926187</v>
      </c>
      <c r="E12" s="1">
        <f t="shared" si="1"/>
        <v>7</v>
      </c>
      <c r="F12" s="13">
        <f t="shared" si="0"/>
        <v>4.2760558717158479E-3</v>
      </c>
      <c r="G12" s="16">
        <f t="shared" si="2"/>
        <v>6.768996444926187</v>
      </c>
    </row>
    <row r="13" spans="1:7" x14ac:dyDescent="0.35">
      <c r="A13" s="4" t="s">
        <v>6</v>
      </c>
      <c r="B13" s="4">
        <f>SUM(B4:B12)</f>
        <v>1583</v>
      </c>
      <c r="C13" s="5">
        <f t="shared" ref="C13:F13" si="3">SUM(C4:C12)</f>
        <v>1</v>
      </c>
      <c r="D13" s="5">
        <f t="shared" si="3"/>
        <v>1583</v>
      </c>
      <c r="E13" s="5">
        <f t="shared" si="3"/>
        <v>1583</v>
      </c>
      <c r="F13" s="5">
        <f t="shared" si="3"/>
        <v>1</v>
      </c>
      <c r="G13" s="5">
        <f>SUM(G4:G12)</f>
        <v>1583</v>
      </c>
    </row>
    <row r="15" spans="1:7" x14ac:dyDescent="0.35">
      <c r="A15" s="1" t="s">
        <v>34</v>
      </c>
      <c r="B15" s="1"/>
      <c r="C15" s="1"/>
      <c r="D15" s="1"/>
      <c r="E15" s="25" t="s">
        <v>35</v>
      </c>
      <c r="F15" s="25"/>
      <c r="G15" s="25"/>
    </row>
    <row r="16" spans="1:7" x14ac:dyDescent="0.35">
      <c r="A16" s="1" t="s">
        <v>36</v>
      </c>
      <c r="B16" s="1">
        <f>MAX(A4:A12)</f>
        <v>8</v>
      </c>
      <c r="C16" s="1"/>
      <c r="D16" s="1"/>
      <c r="E16" s="26" t="s">
        <v>37</v>
      </c>
      <c r="F16" s="26"/>
      <c r="G16" s="26"/>
    </row>
    <row r="17" spans="1:7" x14ac:dyDescent="0.35">
      <c r="A17" s="1" t="s">
        <v>38</v>
      </c>
      <c r="B17" s="12">
        <f>SUMPRODUCT(A4:A12,B4:B12)/SUM(B4:B12)</f>
        <v>4.045483259633607</v>
      </c>
      <c r="C17" s="1"/>
      <c r="D17" s="1"/>
      <c r="E17" s="23" t="s">
        <v>39</v>
      </c>
      <c r="F17" s="23"/>
      <c r="G17" s="23"/>
    </row>
    <row r="18" spans="1:7" x14ac:dyDescent="0.35">
      <c r="A18" s="1" t="s">
        <v>40</v>
      </c>
      <c r="B18" s="12">
        <f>B17/B16</f>
        <v>0.50568540745420087</v>
      </c>
      <c r="C18" s="1"/>
      <c r="D18" s="1"/>
      <c r="E18" s="26" t="s">
        <v>41</v>
      </c>
      <c r="F18" s="26"/>
      <c r="G18" s="26"/>
    </row>
    <row r="19" spans="1:7" x14ac:dyDescent="0.35">
      <c r="A19" s="1" t="s">
        <v>42</v>
      </c>
      <c r="B19" s="12">
        <f>1-B18</f>
        <v>0.49431459254579913</v>
      </c>
      <c r="C19" s="1"/>
      <c r="D19" s="1"/>
      <c r="E19" s="26" t="s">
        <v>43</v>
      </c>
      <c r="F19" s="26"/>
      <c r="G19" s="26"/>
    </row>
    <row r="20" spans="1:7" x14ac:dyDescent="0.35">
      <c r="A20" s="1"/>
      <c r="B20" s="1"/>
      <c r="C20" s="1" t="s">
        <v>30</v>
      </c>
      <c r="D20" s="1" t="s">
        <v>32</v>
      </c>
      <c r="E20" s="25"/>
      <c r="F20" s="25"/>
      <c r="G20" s="25"/>
    </row>
    <row r="21" spans="1:7" x14ac:dyDescent="0.35">
      <c r="A21" s="1"/>
      <c r="B21" s="1" t="s">
        <v>44</v>
      </c>
      <c r="C21" s="1">
        <v>2</v>
      </c>
      <c r="D21" s="13">
        <f>BINOMDIST(C21,B16,B18,TRUE)</f>
        <v>0.13719609271345107</v>
      </c>
      <c r="E21" s="23" t="s">
        <v>45</v>
      </c>
      <c r="F21" s="23"/>
      <c r="G21" s="23"/>
    </row>
    <row r="22" spans="1:7" x14ac:dyDescent="0.35">
      <c r="A22" s="1"/>
      <c r="B22" s="1" t="s">
        <v>46</v>
      </c>
      <c r="C22" s="1">
        <v>3</v>
      </c>
      <c r="D22" s="13">
        <f>BINOMDIST(C22,B16,B18,TRUE)</f>
        <v>0.35091672382130773</v>
      </c>
      <c r="E22" s="23" t="s">
        <v>47</v>
      </c>
      <c r="F22" s="23"/>
      <c r="G22" s="23"/>
    </row>
    <row r="23" spans="1:7" x14ac:dyDescent="0.35">
      <c r="A23" s="1"/>
      <c r="B23" s="1" t="s">
        <v>48</v>
      </c>
      <c r="C23" s="1">
        <v>3</v>
      </c>
      <c r="D23" s="13">
        <f>BINOMDIST(C23,B16,B18,FALSE)</f>
        <v>0.2137206311078568</v>
      </c>
      <c r="E23" s="23" t="s">
        <v>49</v>
      </c>
      <c r="F23" s="23"/>
      <c r="G23" s="23"/>
    </row>
    <row r="24" spans="1:7" x14ac:dyDescent="0.35">
      <c r="A24" s="1"/>
      <c r="B24" s="1" t="s">
        <v>50</v>
      </c>
      <c r="C24" s="1">
        <v>3</v>
      </c>
      <c r="D24" s="13">
        <f>1-BINOMDIST(C24,B16,B18,FALSE)</f>
        <v>0.78627936889214323</v>
      </c>
      <c r="E24" s="23" t="s">
        <v>51</v>
      </c>
      <c r="F24" s="23"/>
      <c r="G24" s="23"/>
    </row>
    <row r="25" spans="1:7" x14ac:dyDescent="0.35">
      <c r="A25" s="1"/>
      <c r="B25" s="1" t="s">
        <v>52</v>
      </c>
      <c r="C25" s="1">
        <v>3</v>
      </c>
      <c r="D25" s="13">
        <f>1-BINOMDIST(C25,B16,B18,TRUE)</f>
        <v>0.64908327617869221</v>
      </c>
      <c r="E25" s="23" t="s">
        <v>53</v>
      </c>
      <c r="F25" s="23"/>
      <c r="G25" s="23"/>
    </row>
  </sheetData>
  <mergeCells count="12">
    <mergeCell ref="E25:G25"/>
    <mergeCell ref="A1:G1"/>
    <mergeCell ref="E15:G15"/>
    <mergeCell ref="E16:G16"/>
    <mergeCell ref="E17:G17"/>
    <mergeCell ref="E18:G18"/>
    <mergeCell ref="E19:G19"/>
    <mergeCell ref="E20:G20"/>
    <mergeCell ref="E21:G21"/>
    <mergeCell ref="E22:G22"/>
    <mergeCell ref="E23:G23"/>
    <mergeCell ref="E24:G24"/>
  </mergeCells>
  <printOptions headings="1" gridLines="1"/>
  <pageMargins left="0.25" right="0.25"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25"/>
  <sheetViews>
    <sheetView view="pageLayout" workbookViewId="0">
      <selection activeCell="I25" sqref="I25"/>
    </sheetView>
  </sheetViews>
  <sheetFormatPr defaultRowHeight="14.5" x14ac:dyDescent="0.35"/>
  <cols>
    <col min="1" max="2" width="9.26953125" bestFit="1" customWidth="1"/>
    <col min="3" max="3" width="10.1796875" bestFit="1" customWidth="1"/>
    <col min="4" max="5" width="9.26953125" bestFit="1" customWidth="1"/>
    <col min="6" max="6" width="20.1796875" customWidth="1"/>
    <col min="7" max="7" width="9.26953125" bestFit="1" customWidth="1"/>
  </cols>
  <sheetData>
    <row r="1" spans="1:7" ht="29.25" customHeight="1" x14ac:dyDescent="0.35">
      <c r="A1" s="24" t="s">
        <v>104</v>
      </c>
      <c r="B1" s="24"/>
      <c r="C1" s="24"/>
      <c r="D1" s="24"/>
      <c r="E1" s="24"/>
      <c r="F1" s="24"/>
      <c r="G1" s="24"/>
    </row>
    <row r="2" spans="1:7" ht="43.5" x14ac:dyDescent="0.35">
      <c r="A2" s="1" t="s">
        <v>30</v>
      </c>
      <c r="B2" s="1" t="s">
        <v>31</v>
      </c>
      <c r="C2" s="1" t="s">
        <v>32</v>
      </c>
      <c r="D2" s="9" t="s">
        <v>33</v>
      </c>
      <c r="E2" s="9" t="s">
        <v>61</v>
      </c>
      <c r="F2" s="1" t="s">
        <v>32</v>
      </c>
      <c r="G2" s="9" t="s">
        <v>33</v>
      </c>
    </row>
    <row r="3" spans="1:7" ht="43.5" x14ac:dyDescent="0.35">
      <c r="A3" s="1"/>
      <c r="B3" s="1"/>
      <c r="C3" s="8" t="s">
        <v>105</v>
      </c>
      <c r="D3" s="8" t="s">
        <v>106</v>
      </c>
      <c r="E3" s="8" t="s">
        <v>107</v>
      </c>
      <c r="F3" s="8" t="s">
        <v>108</v>
      </c>
      <c r="G3" s="8" t="s">
        <v>109</v>
      </c>
    </row>
    <row r="4" spans="1:7" x14ac:dyDescent="0.35">
      <c r="A4" s="1">
        <v>0</v>
      </c>
      <c r="B4" s="1">
        <v>2110</v>
      </c>
      <c r="C4" s="13">
        <f t="array" ref="C4:C12">POISSON(A4:A12,B17,FALSE)</f>
        <v>0.3567553511195688</v>
      </c>
      <c r="D4" s="1">
        <f t="array" ref="D4:D12">B13*C4:C12</f>
        <v>2393.4716506611871</v>
      </c>
      <c r="E4" s="1">
        <f>ROUND(D4,0)</f>
        <v>2393</v>
      </c>
      <c r="F4" s="11">
        <f>POISSON(A4,$B$17,FALSE)</f>
        <v>0.3567553511195688</v>
      </c>
      <c r="G4" s="1">
        <f>$B$13*F4</f>
        <v>2393.4716506611871</v>
      </c>
    </row>
    <row r="5" spans="1:7" x14ac:dyDescent="0.35">
      <c r="A5" s="1">
        <v>1</v>
      </c>
      <c r="B5" s="1">
        <v>2610</v>
      </c>
      <c r="C5" s="13">
        <v>0.36770953241791898</v>
      </c>
      <c r="D5" s="1">
        <v>2466.9632529918185</v>
      </c>
      <c r="E5" s="1">
        <f t="shared" ref="E5:E12" si="0">ROUND(D5,0)</f>
        <v>2467</v>
      </c>
      <c r="F5" s="11">
        <f t="shared" ref="F5:F12" si="1">POISSON(A5,$B$17,FALSE)</f>
        <v>0.36770953241791898</v>
      </c>
      <c r="G5" s="1">
        <f t="shared" ref="G5:G12" si="2">$B$13*F5</f>
        <v>2466.9632529918185</v>
      </c>
    </row>
    <row r="6" spans="1:7" x14ac:dyDescent="0.35">
      <c r="A6" s="1">
        <v>2</v>
      </c>
      <c r="B6" s="1">
        <v>1800</v>
      </c>
      <c r="C6" s="13">
        <v>0.18950003105305632</v>
      </c>
      <c r="D6" s="1">
        <v>1271.3557083349549</v>
      </c>
      <c r="E6" s="1">
        <f t="shared" si="0"/>
        <v>1271</v>
      </c>
      <c r="F6" s="11">
        <f t="shared" si="1"/>
        <v>0.18950003105305632</v>
      </c>
      <c r="G6" s="1">
        <f t="shared" si="2"/>
        <v>1271.3557083349549</v>
      </c>
    </row>
    <row r="7" spans="1:7" x14ac:dyDescent="0.35">
      <c r="A7" s="1">
        <v>3</v>
      </c>
      <c r="B7" s="1">
        <v>101</v>
      </c>
      <c r="C7" s="13">
        <v>6.5106211294871805E-2</v>
      </c>
      <c r="D7" s="1">
        <v>436.79757157729495</v>
      </c>
      <c r="E7" s="1">
        <f t="shared" si="0"/>
        <v>437</v>
      </c>
      <c r="F7" s="11">
        <f t="shared" si="1"/>
        <v>6.5106211294871805E-2</v>
      </c>
      <c r="G7" s="1">
        <f t="shared" si="2"/>
        <v>436.79757157729495</v>
      </c>
    </row>
    <row r="8" spans="1:7" x14ac:dyDescent="0.35">
      <c r="A8" s="1">
        <v>4</v>
      </c>
      <c r="B8" s="1">
        <v>50</v>
      </c>
      <c r="C8" s="13">
        <v>1.6776324754212195E-2</v>
      </c>
      <c r="D8" s="1">
        <v>112.55236277600962</v>
      </c>
      <c r="E8" s="1">
        <f t="shared" si="0"/>
        <v>113</v>
      </c>
      <c r="F8" s="11">
        <f t="shared" si="1"/>
        <v>1.6776324754212195E-2</v>
      </c>
      <c r="G8" s="1">
        <f t="shared" si="2"/>
        <v>112.55236277600962</v>
      </c>
    </row>
    <row r="9" spans="1:7" x14ac:dyDescent="0.35">
      <c r="A9" s="1">
        <v>5</v>
      </c>
      <c r="B9" s="1">
        <v>30</v>
      </c>
      <c r="C9" s="13">
        <v>3.4582884386757302E-3</v>
      </c>
      <c r="D9" s="1">
        <v>23.201657135075475</v>
      </c>
      <c r="E9" s="1">
        <f t="shared" si="0"/>
        <v>23</v>
      </c>
      <c r="F9" s="11">
        <f t="shared" si="1"/>
        <v>3.4582884386757302E-3</v>
      </c>
      <c r="G9" s="1">
        <f t="shared" si="2"/>
        <v>23.201657135075475</v>
      </c>
    </row>
    <row r="10" spans="1:7" x14ac:dyDescent="0.35">
      <c r="A10" s="1">
        <v>6</v>
      </c>
      <c r="B10" s="1">
        <v>5</v>
      </c>
      <c r="C10" s="13">
        <v>5.94079210847187E-4</v>
      </c>
      <c r="D10" s="1">
        <v>3.9856774255737775</v>
      </c>
      <c r="E10" s="1">
        <f t="shared" si="0"/>
        <v>4</v>
      </c>
      <c r="F10" s="11">
        <f t="shared" si="1"/>
        <v>5.94079210847187E-4</v>
      </c>
      <c r="G10" s="1">
        <f t="shared" si="2"/>
        <v>3.9856774255737775</v>
      </c>
    </row>
    <row r="11" spans="1:7" x14ac:dyDescent="0.35">
      <c r="A11" s="1">
        <v>7</v>
      </c>
      <c r="B11" s="1">
        <v>2</v>
      </c>
      <c r="C11" s="17">
        <v>8.7474346677348229E-5</v>
      </c>
      <c r="D11" s="1">
        <v>0.58686539185832931</v>
      </c>
      <c r="E11" s="1">
        <f t="shared" si="0"/>
        <v>1</v>
      </c>
      <c r="F11" s="1">
        <f t="shared" si="1"/>
        <v>8.7474346677348229E-5</v>
      </c>
      <c r="G11" s="1">
        <f t="shared" si="2"/>
        <v>0.58686539185832931</v>
      </c>
    </row>
    <row r="12" spans="1:7" x14ac:dyDescent="0.35">
      <c r="A12" s="1">
        <v>8</v>
      </c>
      <c r="B12" s="1">
        <v>1</v>
      </c>
      <c r="C12" s="17">
        <v>1.1270031064127679E-5</v>
      </c>
      <c r="D12" s="1">
        <v>7.56106384092326E-2</v>
      </c>
      <c r="E12" s="1">
        <f t="shared" si="0"/>
        <v>0</v>
      </c>
      <c r="F12" s="1">
        <f t="shared" si="1"/>
        <v>1.1270031064127679E-5</v>
      </c>
      <c r="G12" s="1">
        <f t="shared" si="2"/>
        <v>7.56106384092326E-2</v>
      </c>
    </row>
    <row r="13" spans="1:7" x14ac:dyDescent="0.35">
      <c r="A13" t="s">
        <v>6</v>
      </c>
      <c r="B13">
        <f>SUM(B4:B12)</f>
        <v>6709</v>
      </c>
      <c r="C13">
        <f t="shared" ref="C13:G13" si="3">SUM(C4:C12)</f>
        <v>0.99999856266689258</v>
      </c>
      <c r="D13">
        <f t="shared" si="3"/>
        <v>6708.9903569321823</v>
      </c>
      <c r="E13">
        <f t="shared" si="3"/>
        <v>6709</v>
      </c>
      <c r="F13">
        <f t="shared" si="3"/>
        <v>0.99999856266689258</v>
      </c>
      <c r="G13">
        <f t="shared" si="3"/>
        <v>6708.9903569321823</v>
      </c>
    </row>
    <row r="15" spans="1:7" x14ac:dyDescent="0.35">
      <c r="A15" s="1" t="s">
        <v>34</v>
      </c>
      <c r="B15" s="1"/>
      <c r="C15" s="1"/>
      <c r="D15" s="1"/>
      <c r="E15" s="1"/>
      <c r="F15" s="25" t="s">
        <v>35</v>
      </c>
      <c r="G15" s="25"/>
    </row>
    <row r="16" spans="1:7" x14ac:dyDescent="0.35">
      <c r="A16" s="1" t="s">
        <v>36</v>
      </c>
      <c r="B16" s="1">
        <f>MAX(A4:A12)</f>
        <v>8</v>
      </c>
      <c r="C16" s="1"/>
      <c r="D16" s="1"/>
      <c r="E16" s="1"/>
      <c r="F16" s="26" t="s">
        <v>37</v>
      </c>
      <c r="G16" s="26"/>
    </row>
    <row r="17" spans="1:7" x14ac:dyDescent="0.35">
      <c r="A17" s="1" t="s">
        <v>38</v>
      </c>
      <c r="B17" s="1">
        <f>SUMPRODUCT(A4:A12,B4:B12)/SUM(B4:B12)</f>
        <v>1.0307050231032941</v>
      </c>
      <c r="C17" s="6" t="s">
        <v>54</v>
      </c>
      <c r="D17" s="1"/>
      <c r="E17" s="1"/>
      <c r="F17" s="26" t="s">
        <v>39</v>
      </c>
      <c r="G17" s="26"/>
    </row>
    <row r="18" spans="1:7" x14ac:dyDescent="0.35">
      <c r="A18" s="1"/>
      <c r="B18" s="1"/>
      <c r="C18" s="1"/>
      <c r="D18" s="1"/>
      <c r="E18" s="1"/>
      <c r="F18" s="26"/>
      <c r="G18" s="26"/>
    </row>
    <row r="19" spans="1:7" x14ac:dyDescent="0.35">
      <c r="A19" s="1"/>
      <c r="B19" s="1"/>
      <c r="C19" s="1"/>
      <c r="D19" s="1"/>
      <c r="E19" s="1"/>
      <c r="F19" s="26"/>
      <c r="G19" s="26"/>
    </row>
    <row r="20" spans="1:7" x14ac:dyDescent="0.35">
      <c r="A20" s="1"/>
      <c r="B20" s="1"/>
      <c r="C20" s="1" t="s">
        <v>30</v>
      </c>
      <c r="D20" s="1" t="s">
        <v>32</v>
      </c>
      <c r="E20" s="1"/>
      <c r="F20" s="25"/>
      <c r="G20" s="25"/>
    </row>
    <row r="21" spans="1:7" x14ac:dyDescent="0.35">
      <c r="A21" s="1"/>
      <c r="B21" s="1" t="s">
        <v>44</v>
      </c>
      <c r="C21" s="1">
        <v>2</v>
      </c>
      <c r="D21" s="13">
        <f>POISSON(C21,B17,TRUE)</f>
        <v>0.91396491459054408</v>
      </c>
      <c r="E21" s="1"/>
      <c r="F21" s="26" t="s">
        <v>56</v>
      </c>
      <c r="G21" s="26"/>
    </row>
    <row r="22" spans="1:7" x14ac:dyDescent="0.35">
      <c r="A22" s="1"/>
      <c r="B22" s="1" t="s">
        <v>46</v>
      </c>
      <c r="C22" s="1">
        <v>3</v>
      </c>
      <c r="D22" s="13">
        <f>POISSON(C22,B17,TRUE)</f>
        <v>0.97907112588541589</v>
      </c>
      <c r="E22" s="1"/>
      <c r="F22" s="26" t="s">
        <v>57</v>
      </c>
      <c r="G22" s="26"/>
    </row>
    <row r="23" spans="1:7" x14ac:dyDescent="0.35">
      <c r="A23" s="1"/>
      <c r="B23" s="1" t="s">
        <v>48</v>
      </c>
      <c r="C23" s="1">
        <v>3</v>
      </c>
      <c r="D23" s="13">
        <f>POISSON(C23,B17,FALSE)</f>
        <v>6.5106211294871805E-2</v>
      </c>
      <c r="E23" s="1"/>
      <c r="F23" s="26" t="s">
        <v>58</v>
      </c>
      <c r="G23" s="26"/>
    </row>
    <row r="24" spans="1:7" x14ac:dyDescent="0.35">
      <c r="A24" s="1"/>
      <c r="B24" s="1" t="s">
        <v>55</v>
      </c>
      <c r="C24" s="1">
        <v>3</v>
      </c>
      <c r="D24" s="13">
        <f>1-POISSON(C24,B17,FALSE)</f>
        <v>0.93489378870512818</v>
      </c>
      <c r="E24" s="1"/>
      <c r="F24" s="26" t="s">
        <v>59</v>
      </c>
      <c r="G24" s="26"/>
    </row>
    <row r="25" spans="1:7" x14ac:dyDescent="0.35">
      <c r="A25" s="1"/>
      <c r="B25" s="1" t="s">
        <v>52</v>
      </c>
      <c r="C25" s="1">
        <v>4</v>
      </c>
      <c r="D25" s="13">
        <f>1-POISSON(C25,B17,TRUE)</f>
        <v>4.1525493603717933E-3</v>
      </c>
      <c r="E25" s="1"/>
      <c r="F25" s="26" t="s">
        <v>60</v>
      </c>
      <c r="G25" s="26"/>
    </row>
  </sheetData>
  <mergeCells count="12">
    <mergeCell ref="F25:G25"/>
    <mergeCell ref="A1:G1"/>
    <mergeCell ref="F15:G15"/>
    <mergeCell ref="F16:G16"/>
    <mergeCell ref="F17:G17"/>
    <mergeCell ref="F18:G18"/>
    <mergeCell ref="F19:G19"/>
    <mergeCell ref="F20:G20"/>
    <mergeCell ref="F21:G21"/>
    <mergeCell ref="F22:G22"/>
    <mergeCell ref="F23:G23"/>
    <mergeCell ref="F24:G24"/>
  </mergeCells>
  <pageMargins left="0.25" right="0.25"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35"/>
  <sheetViews>
    <sheetView view="pageLayout" topLeftCell="A35" zoomScaleNormal="145" workbookViewId="0">
      <selection activeCell="I34" sqref="I34:I37"/>
    </sheetView>
  </sheetViews>
  <sheetFormatPr defaultRowHeight="14.5" x14ac:dyDescent="0.35"/>
  <cols>
    <col min="1" max="1" width="11.7265625" customWidth="1"/>
    <col min="2" max="2" width="12" bestFit="1" customWidth="1"/>
    <col min="7" max="7" width="14" bestFit="1" customWidth="1"/>
  </cols>
  <sheetData>
    <row r="1" spans="1:8" x14ac:dyDescent="0.35">
      <c r="A1" s="31" t="s">
        <v>110</v>
      </c>
      <c r="B1" s="31"/>
      <c r="C1" s="31"/>
      <c r="D1" s="31"/>
      <c r="E1" s="31"/>
    </row>
    <row r="2" spans="1:8" ht="43.5" x14ac:dyDescent="0.35">
      <c r="A2" s="1" t="s">
        <v>62</v>
      </c>
      <c r="B2" s="1" t="s">
        <v>63</v>
      </c>
      <c r="C2" s="1" t="s">
        <v>64</v>
      </c>
      <c r="D2" s="1" t="s">
        <v>65</v>
      </c>
      <c r="E2" s="1" t="s">
        <v>66</v>
      </c>
      <c r="F2" s="1" t="s">
        <v>67</v>
      </c>
      <c r="G2" s="1" t="s">
        <v>68</v>
      </c>
      <c r="H2" s="9" t="s">
        <v>69</v>
      </c>
    </row>
    <row r="3" spans="1:8" ht="87" x14ac:dyDescent="0.35">
      <c r="A3" s="9"/>
      <c r="B3" s="9"/>
      <c r="C3" s="9"/>
      <c r="D3" s="9"/>
      <c r="E3" s="8" t="s">
        <v>112</v>
      </c>
      <c r="F3" s="8" t="s">
        <v>113</v>
      </c>
      <c r="G3" s="8" t="s">
        <v>114</v>
      </c>
      <c r="H3" s="8" t="s">
        <v>115</v>
      </c>
    </row>
    <row r="4" spans="1:8" x14ac:dyDescent="0.35">
      <c r="A4" s="10"/>
      <c r="B4" s="1"/>
      <c r="C4" s="1"/>
      <c r="D4" s="1"/>
      <c r="E4" s="1"/>
      <c r="F4" s="12">
        <f t="array" ref="F4:F15">NORMDIST(C4:C15,B21,B23,TRUE)</f>
        <v>5.7072651902914532E-4</v>
      </c>
      <c r="G4" s="12">
        <f t="shared" ref="G4:G14" si="0">NORMDIST(D4,$B$21,$B$23,TRUE)-NORMDIST(C4,$B$21,$B$23,TRUE)</f>
        <v>0</v>
      </c>
      <c r="H4" s="16">
        <f>$B$20*G4</f>
        <v>0</v>
      </c>
    </row>
    <row r="5" spans="1:8" x14ac:dyDescent="0.35">
      <c r="A5" s="10" t="s">
        <v>70</v>
      </c>
      <c r="B5" s="1">
        <v>1</v>
      </c>
      <c r="C5" s="1">
        <v>0</v>
      </c>
      <c r="D5" s="1">
        <v>10</v>
      </c>
      <c r="E5" s="1">
        <f>AVERAGE(C5:D5)</f>
        <v>5</v>
      </c>
      <c r="F5" s="12">
        <v>5.7072651902914532E-4</v>
      </c>
      <c r="G5" s="12">
        <f t="shared" si="0"/>
        <v>3.8398242142409062E-3</v>
      </c>
      <c r="H5" s="16">
        <f t="shared" ref="H5:H15" si="1">$B$20*G5</f>
        <v>1.3055402328419081</v>
      </c>
    </row>
    <row r="6" spans="1:8" x14ac:dyDescent="0.35">
      <c r="A6" s="10" t="s">
        <v>71</v>
      </c>
      <c r="B6" s="1">
        <v>6</v>
      </c>
      <c r="C6" s="1">
        <v>10</v>
      </c>
      <c r="D6" s="1">
        <v>20</v>
      </c>
      <c r="E6" s="1">
        <f t="shared" ref="E6:E14" si="2">AVERAGE(C6:D6)</f>
        <v>15</v>
      </c>
      <c r="F6" s="12">
        <v>4.4105507332700515E-3</v>
      </c>
      <c r="G6" s="12">
        <f t="shared" si="0"/>
        <v>1.9178288591080232E-2</v>
      </c>
      <c r="H6" s="16">
        <f t="shared" si="1"/>
        <v>6.5206181209672787</v>
      </c>
    </row>
    <row r="7" spans="1:8" x14ac:dyDescent="0.35">
      <c r="A7" s="10" t="s">
        <v>72</v>
      </c>
      <c r="B7" s="1">
        <v>23</v>
      </c>
      <c r="C7" s="1">
        <v>20</v>
      </c>
      <c r="D7" s="1">
        <v>30</v>
      </c>
      <c r="E7" s="1">
        <f t="shared" si="2"/>
        <v>25</v>
      </c>
      <c r="F7" s="12">
        <v>2.3588839324350283E-2</v>
      </c>
      <c r="G7" s="12">
        <f t="shared" si="0"/>
        <v>6.484019684426498E-2</v>
      </c>
      <c r="H7" s="16">
        <f t="shared" si="1"/>
        <v>22.045666927050092</v>
      </c>
    </row>
    <row r="8" spans="1:8" x14ac:dyDescent="0.35">
      <c r="A8" s="10" t="s">
        <v>73</v>
      </c>
      <c r="B8" s="1">
        <v>52</v>
      </c>
      <c r="C8" s="1">
        <v>30</v>
      </c>
      <c r="D8" s="1">
        <v>40</v>
      </c>
      <c r="E8" s="1">
        <f t="shared" si="2"/>
        <v>35</v>
      </c>
      <c r="F8" s="12">
        <v>8.8429036168615263E-2</v>
      </c>
      <c r="G8" s="12">
        <f t="shared" si="0"/>
        <v>0.14847918487346157</v>
      </c>
      <c r="H8" s="16">
        <f t="shared" si="1"/>
        <v>50.482922856976934</v>
      </c>
    </row>
    <row r="9" spans="1:8" x14ac:dyDescent="0.35">
      <c r="A9" s="10" t="s">
        <v>74</v>
      </c>
      <c r="B9" s="1">
        <v>75</v>
      </c>
      <c r="C9" s="1">
        <v>40</v>
      </c>
      <c r="D9" s="1">
        <v>50</v>
      </c>
      <c r="E9" s="1">
        <f t="shared" si="2"/>
        <v>45</v>
      </c>
      <c r="F9" s="12">
        <v>0.23690822104207684</v>
      </c>
      <c r="G9" s="12">
        <f t="shared" si="0"/>
        <v>0.23038566260533125</v>
      </c>
      <c r="H9" s="16">
        <f t="shared" si="1"/>
        <v>78.331125285812618</v>
      </c>
    </row>
    <row r="10" spans="1:8" x14ac:dyDescent="0.35">
      <c r="A10" s="10" t="s">
        <v>75</v>
      </c>
      <c r="B10" s="1">
        <v>85</v>
      </c>
      <c r="C10" s="1">
        <v>50</v>
      </c>
      <c r="D10" s="1">
        <v>60</v>
      </c>
      <c r="E10" s="1">
        <f t="shared" si="2"/>
        <v>55</v>
      </c>
      <c r="F10" s="12">
        <v>0.46729388364740809</v>
      </c>
      <c r="G10" s="12">
        <f t="shared" si="0"/>
        <v>0.24227819700108599</v>
      </c>
      <c r="H10" s="16">
        <f t="shared" si="1"/>
        <v>82.374586980369244</v>
      </c>
    </row>
    <row r="11" spans="1:8" x14ac:dyDescent="0.35">
      <c r="A11" s="10" t="s">
        <v>76</v>
      </c>
      <c r="B11" s="1">
        <v>56</v>
      </c>
      <c r="C11" s="1">
        <v>60</v>
      </c>
      <c r="D11" s="1">
        <v>70</v>
      </c>
      <c r="E11" s="1">
        <f t="shared" si="2"/>
        <v>65</v>
      </c>
      <c r="F11" s="12">
        <v>0.70957208064849409</v>
      </c>
      <c r="G11" s="12">
        <f t="shared" si="0"/>
        <v>0.17268472037756311</v>
      </c>
      <c r="H11" s="16">
        <f t="shared" si="1"/>
        <v>58.712804928371455</v>
      </c>
    </row>
    <row r="12" spans="1:8" x14ac:dyDescent="0.35">
      <c r="A12" s="10" t="s">
        <v>77</v>
      </c>
      <c r="B12" s="1">
        <v>32</v>
      </c>
      <c r="C12" s="1">
        <v>70</v>
      </c>
      <c r="D12" s="1">
        <v>80</v>
      </c>
      <c r="E12" s="1">
        <f t="shared" si="2"/>
        <v>75</v>
      </c>
      <c r="F12" s="12">
        <v>0.88225680102605719</v>
      </c>
      <c r="G12" s="12">
        <f t="shared" si="0"/>
        <v>8.3405810286358961E-2</v>
      </c>
      <c r="H12" s="16">
        <f t="shared" si="1"/>
        <v>28.357975497362048</v>
      </c>
    </row>
    <row r="13" spans="1:8" x14ac:dyDescent="0.35">
      <c r="A13" s="10" t="s">
        <v>78</v>
      </c>
      <c r="B13" s="1">
        <v>9</v>
      </c>
      <c r="C13" s="1">
        <v>80</v>
      </c>
      <c r="D13" s="1">
        <v>90</v>
      </c>
      <c r="E13" s="1">
        <f t="shared" si="2"/>
        <v>85</v>
      </c>
      <c r="F13" s="12">
        <v>0.96566261131241615</v>
      </c>
      <c r="G13" s="12">
        <f t="shared" si="0"/>
        <v>2.7288504512028799E-2</v>
      </c>
      <c r="H13" s="16">
        <f t="shared" si="1"/>
        <v>9.2780915340897927</v>
      </c>
    </row>
    <row r="14" spans="1:8" x14ac:dyDescent="0.35">
      <c r="A14" s="10" t="s">
        <v>79</v>
      </c>
      <c r="B14" s="1">
        <v>1</v>
      </c>
      <c r="C14" s="1">
        <v>90</v>
      </c>
      <c r="D14" s="1">
        <v>100</v>
      </c>
      <c r="E14" s="1">
        <f t="shared" si="2"/>
        <v>95</v>
      </c>
      <c r="F14" s="12">
        <v>0.99295111582444495</v>
      </c>
      <c r="G14" s="12">
        <f t="shared" si="0"/>
        <v>6.0446312965966031E-3</v>
      </c>
      <c r="H14" s="16">
        <f t="shared" si="1"/>
        <v>2.0551746408428451</v>
      </c>
    </row>
    <row r="15" spans="1:8" x14ac:dyDescent="0.35">
      <c r="A15" s="1"/>
      <c r="B15" s="1"/>
      <c r="C15" s="1">
        <v>100</v>
      </c>
      <c r="D15" s="1"/>
      <c r="E15" s="1"/>
      <c r="F15" s="1">
        <v>0.99899574712104156</v>
      </c>
      <c r="G15" s="12"/>
      <c r="H15" s="16">
        <f t="shared" si="1"/>
        <v>0</v>
      </c>
    </row>
    <row r="16" spans="1:8" x14ac:dyDescent="0.35">
      <c r="B16">
        <f>SUM(B5:B15)</f>
        <v>340</v>
      </c>
      <c r="H16">
        <f>SUM(H5:H15)</f>
        <v>339.46450700468426</v>
      </c>
    </row>
    <row r="17" spans="1:7" x14ac:dyDescent="0.35">
      <c r="B17" s="2" t="s">
        <v>111</v>
      </c>
    </row>
    <row r="19" spans="1:7" x14ac:dyDescent="0.35">
      <c r="A19" t="s">
        <v>34</v>
      </c>
    </row>
    <row r="20" spans="1:7" x14ac:dyDescent="0.35">
      <c r="A20" s="1" t="s">
        <v>80</v>
      </c>
      <c r="B20" s="1">
        <f>B16</f>
        <v>340</v>
      </c>
    </row>
    <row r="21" spans="1:7" ht="15.75" customHeight="1" x14ac:dyDescent="0.35">
      <c r="A21" s="1" t="s">
        <v>38</v>
      </c>
      <c r="B21" s="13">
        <f>SUMPRODUCT(E5:E14,B5:B14)/SUM(B5:B14)</f>
        <v>51.294117647058826</v>
      </c>
    </row>
    <row r="22" spans="1:7" x14ac:dyDescent="0.35">
      <c r="A22" s="1" t="s">
        <v>82</v>
      </c>
      <c r="B22" s="13">
        <f>(SUMPRODUCT(B5:B14,E5:E14,E5:E14)/B20)-B21^2</f>
        <v>248.61937716262946</v>
      </c>
    </row>
    <row r="23" spans="1:7" x14ac:dyDescent="0.35">
      <c r="A23" s="1" t="s">
        <v>84</v>
      </c>
      <c r="B23" s="13">
        <f>SQRT(B22)</f>
        <v>15.767668729480254</v>
      </c>
    </row>
    <row r="24" spans="1:7" x14ac:dyDescent="0.35">
      <c r="C24" t="s">
        <v>35</v>
      </c>
    </row>
    <row r="25" spans="1:7" x14ac:dyDescent="0.35">
      <c r="A25" s="27" t="s">
        <v>67</v>
      </c>
      <c r="B25" s="27"/>
      <c r="C25" s="28" t="s">
        <v>99</v>
      </c>
      <c r="D25" s="29"/>
      <c r="E25" s="29"/>
      <c r="F25" s="30"/>
    </row>
    <row r="26" spans="1:7" ht="30.75" customHeight="1" x14ac:dyDescent="0.35">
      <c r="A26" s="27" t="s">
        <v>81</v>
      </c>
      <c r="B26" s="27"/>
      <c r="C26" s="28" t="s">
        <v>100</v>
      </c>
      <c r="D26" s="29"/>
      <c r="E26" s="29"/>
      <c r="F26" s="30"/>
    </row>
    <row r="27" spans="1:7" x14ac:dyDescent="0.35">
      <c r="A27" s="1" t="s">
        <v>83</v>
      </c>
      <c r="B27" s="1"/>
      <c r="C27" s="32" t="s">
        <v>101</v>
      </c>
      <c r="D27" s="33"/>
      <c r="E27" s="33"/>
      <c r="F27" s="34"/>
    </row>
    <row r="31" spans="1:7" ht="29" x14ac:dyDescent="0.35">
      <c r="A31" s="1"/>
      <c r="B31" s="1" t="s">
        <v>30</v>
      </c>
      <c r="C31" s="1"/>
      <c r="D31" s="9" t="s">
        <v>85</v>
      </c>
      <c r="E31" s="27" t="s">
        <v>35</v>
      </c>
      <c r="F31" s="27"/>
      <c r="G31" s="27"/>
    </row>
    <row r="32" spans="1:7" x14ac:dyDescent="0.35">
      <c r="A32" s="1" t="s">
        <v>86</v>
      </c>
      <c r="B32" s="1">
        <v>45</v>
      </c>
      <c r="C32" s="1"/>
      <c r="D32" s="1">
        <f>NORMDIST(B32,B21,B23,TRUE)</f>
        <v>0.34488076500129461</v>
      </c>
      <c r="E32" s="23" t="s">
        <v>87</v>
      </c>
      <c r="F32" s="23"/>
      <c r="G32" s="23"/>
    </row>
    <row r="33" spans="1:7" ht="31.5" customHeight="1" x14ac:dyDescent="0.35">
      <c r="A33" s="1" t="s">
        <v>88</v>
      </c>
      <c r="B33" s="1">
        <v>40</v>
      </c>
      <c r="C33" s="1">
        <v>60</v>
      </c>
      <c r="D33" s="1">
        <f>NORMDIST(C33,B21,B23,TRUE)-NORMDIST(B33,B21,B23,TRUE)</f>
        <v>0.47266385960641721</v>
      </c>
      <c r="E33" s="23" t="s">
        <v>89</v>
      </c>
      <c r="F33" s="23"/>
      <c r="G33" s="23"/>
    </row>
    <row r="34" spans="1:7" ht="29.25" customHeight="1" x14ac:dyDescent="0.35">
      <c r="A34" s="1" t="s">
        <v>90</v>
      </c>
      <c r="B34" s="1">
        <v>40</v>
      </c>
      <c r="C34" s="1">
        <v>60</v>
      </c>
      <c r="D34" s="1">
        <f>1-(NORMDIST(C34,B21,B23,TRUE)-NORMDIST(B34,B21,B23,TRUE))</f>
        <v>0.52733614039358279</v>
      </c>
      <c r="E34" s="23" t="s">
        <v>91</v>
      </c>
      <c r="F34" s="23"/>
      <c r="G34" s="23"/>
    </row>
    <row r="35" spans="1:7" ht="21.75" customHeight="1" x14ac:dyDescent="0.35">
      <c r="A35" s="1" t="s">
        <v>92</v>
      </c>
      <c r="B35" s="1">
        <v>60</v>
      </c>
      <c r="C35" s="1"/>
      <c r="D35" s="1">
        <f>1-NORMDIST(B35,B21,B23,TRUE)</f>
        <v>0.29042791935150591</v>
      </c>
      <c r="E35" s="23" t="s">
        <v>93</v>
      </c>
      <c r="F35" s="23"/>
      <c r="G35" s="23"/>
    </row>
  </sheetData>
  <mergeCells count="11">
    <mergeCell ref="E35:G35"/>
    <mergeCell ref="C27:F27"/>
    <mergeCell ref="E31:G31"/>
    <mergeCell ref="E32:G32"/>
    <mergeCell ref="E33:G33"/>
    <mergeCell ref="E34:G34"/>
    <mergeCell ref="A25:B25"/>
    <mergeCell ref="A26:B26"/>
    <mergeCell ref="C26:F26"/>
    <mergeCell ref="C25:F25"/>
    <mergeCell ref="A1:E1"/>
  </mergeCells>
  <printOptions headings="1" gridLines="1"/>
  <pageMargins left="0.25" right="0.25"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Expectation</vt:lpstr>
      <vt:lpstr>Binomial </vt:lpstr>
      <vt:lpstr>Poisson</vt:lpstr>
      <vt:lpstr>Normal</vt:lpstr>
    </vt:vector>
  </TitlesOfParts>
  <Company>Deftones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PrakashbdrAmatya</dc:creator>
  <cp:lastModifiedBy>Deepak Bhattarai</cp:lastModifiedBy>
  <cp:lastPrinted>2016-09-21T05:37:50Z</cp:lastPrinted>
  <dcterms:created xsi:type="dcterms:W3CDTF">2016-09-17T11:36:23Z</dcterms:created>
  <dcterms:modified xsi:type="dcterms:W3CDTF">2025-08-09T12:25:53Z</dcterms:modified>
</cp:coreProperties>
</file>