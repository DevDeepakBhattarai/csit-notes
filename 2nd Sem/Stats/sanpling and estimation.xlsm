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eepak_bhattarai\Documents\Notes\2nd Sem\Stats\"/>
    </mc:Choice>
  </mc:AlternateContent>
  <xr:revisionPtr revIDLastSave="0" documentId="13_ncr:1_{ECA3DA3F-9663-444E-8F47-1795580C6324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SRSWOR" sheetId="1" r:id="rId1"/>
    <sheet name="SRSWR" sheetId="2" r:id="rId2"/>
    <sheet name="SRSWOR3" sheetId="3" r:id="rId3"/>
    <sheet name="Sheet4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3" l="1"/>
  <c r="B47" i="3"/>
  <c r="B44" i="3"/>
  <c r="F30" i="3"/>
  <c r="E31" i="3" l="1"/>
  <c r="F31" i="3"/>
  <c r="G31" i="3"/>
  <c r="E32" i="3"/>
  <c r="F32" i="3"/>
  <c r="G32" i="3"/>
  <c r="E33" i="3"/>
  <c r="F33" i="3"/>
  <c r="G33" i="3"/>
  <c r="E34" i="3"/>
  <c r="F34" i="3"/>
  <c r="G34" i="3"/>
  <c r="E35" i="3"/>
  <c r="F35" i="3"/>
  <c r="G35" i="3"/>
  <c r="E36" i="3"/>
  <c r="F36" i="3"/>
  <c r="G36" i="3"/>
  <c r="E37" i="3"/>
  <c r="F37" i="3"/>
  <c r="G37" i="3"/>
  <c r="E38" i="3"/>
  <c r="F38" i="3"/>
  <c r="G38" i="3"/>
  <c r="E39" i="3"/>
  <c r="F39" i="3"/>
  <c r="G39" i="3"/>
  <c r="G30" i="3"/>
  <c r="E30" i="3"/>
  <c r="C24" i="3"/>
  <c r="C22" i="3"/>
  <c r="C21" i="3"/>
  <c r="C20" i="3"/>
  <c r="C19" i="3"/>
  <c r="B16" i="3"/>
  <c r="C15" i="3"/>
  <c r="C14" i="3"/>
  <c r="C13" i="3"/>
  <c r="C12" i="3"/>
  <c r="C11" i="3"/>
  <c r="B61" i="2"/>
  <c r="B62" i="2" s="1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C22" i="2"/>
  <c r="C21" i="2"/>
  <c r="C20" i="2"/>
  <c r="C19" i="2"/>
  <c r="C24" i="2" s="1"/>
  <c r="B16" i="2"/>
  <c r="C15" i="2"/>
  <c r="C14" i="2"/>
  <c r="C13" i="2"/>
  <c r="C12" i="2"/>
  <c r="C11" i="2"/>
  <c r="D32" i="1"/>
  <c r="D41" i="1" s="1"/>
  <c r="E32" i="1"/>
  <c r="F32" i="1"/>
  <c r="B46" i="1" s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F31" i="1"/>
  <c r="E31" i="1"/>
  <c r="D31" i="1"/>
  <c r="B45" i="1" s="1"/>
  <c r="C22" i="1"/>
  <c r="C21" i="1"/>
  <c r="C20" i="1"/>
  <c r="C19" i="1"/>
  <c r="B47" i="1" s="1"/>
  <c r="B48" i="1" s="1"/>
  <c r="C12" i="1"/>
  <c r="C13" i="1"/>
  <c r="C14" i="1"/>
  <c r="C15" i="1"/>
  <c r="C11" i="1"/>
  <c r="B16" i="1"/>
  <c r="C25" i="1" l="1"/>
  <c r="F41" i="1"/>
  <c r="C16" i="3"/>
  <c r="G40" i="3"/>
  <c r="E40" i="3"/>
  <c r="B45" i="3"/>
  <c r="D55" i="2"/>
  <c r="B60" i="2"/>
  <c r="C16" i="2"/>
  <c r="F55" i="2"/>
  <c r="B59" i="2"/>
  <c r="C16" i="1"/>
</calcChain>
</file>

<file path=xl/sharedStrings.xml><?xml version="1.0" encoding="utf-8"?>
<sst xmlns="http://schemas.openxmlformats.org/spreadsheetml/2006/main" count="153" uniqueCount="59">
  <si>
    <t>Draw the sample of size 2 from the population consisting units 1, 2, 3, 4 and 5</t>
  </si>
  <si>
    <t>sample mean is unbiased estimate of population mean</t>
  </si>
  <si>
    <t>sample variance is unbiased estimate of population variance a</t>
  </si>
  <si>
    <t>find variance of mean</t>
  </si>
  <si>
    <t>solution</t>
  </si>
  <si>
    <t>Population units</t>
  </si>
  <si>
    <t>X</t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</si>
  <si>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</si>
  <si>
    <t>total</t>
  </si>
  <si>
    <t>here</t>
  </si>
  <si>
    <t>Population size</t>
  </si>
  <si>
    <t>N</t>
  </si>
  <si>
    <t>population mean</t>
  </si>
  <si>
    <t>Population Variance</t>
  </si>
  <si>
    <t>Population mean Square</t>
  </si>
  <si>
    <t>prove that if sample is drawn using SRSWOR</t>
  </si>
  <si>
    <t>µ</t>
  </si>
  <si>
    <r>
      <rPr>
        <sz val="11"/>
        <color theme="1"/>
        <rFont val="Calibri"/>
        <family val="2"/>
      </rPr>
      <t>σ</t>
    </r>
    <r>
      <rPr>
        <vertAlign val="superscript"/>
        <sz val="11"/>
        <color theme="1"/>
        <rFont val="Calibri"/>
        <family val="2"/>
      </rPr>
      <t>2</t>
    </r>
  </si>
  <si>
    <r>
      <t>S</t>
    </r>
    <r>
      <rPr>
        <vertAlign val="superscript"/>
        <sz val="11"/>
        <color theme="1"/>
        <rFont val="Calibri"/>
        <family val="2"/>
        <scheme val="minor"/>
      </rPr>
      <t>2</t>
    </r>
  </si>
  <si>
    <t>=COUNT(B11:B15)</t>
  </si>
  <si>
    <t>=AVERAGE(B11:B15)</t>
  </si>
  <si>
    <t>=(STDEVP(B11:B15))^2</t>
  </si>
  <si>
    <t>=(STDEV(B11:B15))^2</t>
  </si>
  <si>
    <t>sample size</t>
  </si>
  <si>
    <t>n</t>
  </si>
  <si>
    <t>=COMBIN(C19,C24)</t>
  </si>
  <si>
    <t>sample size 2 out of 5 can be selected in C(N,n) ways</t>
  </si>
  <si>
    <t>sample calculations</t>
  </si>
  <si>
    <t>sample number</t>
  </si>
  <si>
    <t>sample units</t>
  </si>
  <si>
    <t>sample mean</t>
  </si>
  <si>
    <r>
      <t>si</t>
    </r>
    <r>
      <rPr>
        <vertAlign val="superscript"/>
        <sz val="11"/>
        <color theme="1"/>
        <rFont val="Calibri"/>
        <family val="2"/>
      </rPr>
      <t>2</t>
    </r>
  </si>
  <si>
    <t>E(sample mean)</t>
  </si>
  <si>
    <t>E(sample vaiance)</t>
  </si>
  <si>
    <t>variance of mean</t>
  </si>
  <si>
    <t>value</t>
  </si>
  <si>
    <t>formula</t>
  </si>
  <si>
    <r>
      <t>Σy</t>
    </r>
    <r>
      <rPr>
        <vertAlign val="subscript"/>
        <sz val="11"/>
        <color theme="1"/>
        <rFont val="Calibri"/>
        <family val="2"/>
      </rPr>
      <t>i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-(Σy</t>
    </r>
    <r>
      <rPr>
        <vertAlign val="subscript"/>
        <sz val="11"/>
        <color theme="1"/>
        <rFont val="Calibri"/>
        <family val="2"/>
      </rPr>
      <t>i</t>
    </r>
    <r>
      <rPr>
        <sz val="11"/>
        <color theme="1"/>
        <rFont val="Calibri"/>
        <family val="2"/>
      </rPr>
      <t>)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/n</t>
    </r>
  </si>
  <si>
    <t>standard error of mean</t>
  </si>
  <si>
    <t>=AVERAGE(D30:D39)</t>
  </si>
  <si>
    <t>=AVERAGE(F30:F39)</t>
  </si>
  <si>
    <t>=(((C19-C24)*C22/C19*C24))</t>
  </si>
  <si>
    <t>=C19^C24</t>
  </si>
  <si>
    <r>
      <t>sample size 2 out of 5 can be selected in N</t>
    </r>
    <r>
      <rPr>
        <vertAlign val="super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ways</t>
    </r>
  </si>
  <si>
    <t>Total</t>
  </si>
  <si>
    <t>=C21/SQRT(C24)</t>
  </si>
  <si>
    <t>=SQRT(B60)</t>
  </si>
  <si>
    <t>=AVERAGE(B31:C31)</t>
  </si>
  <si>
    <t>=SUMSQ(B31:C31)-((SUM(B31:C31))^2)/COUNT(B31:C31)</t>
  </si>
  <si>
    <t>=(STDEV(B31:C31))^2</t>
  </si>
  <si>
    <t>=SUM(D31:D40)</t>
  </si>
  <si>
    <t>=SUM(F31:F40)</t>
  </si>
  <si>
    <t>=AVERAGE(E31:E40)</t>
  </si>
  <si>
    <t>=AVERAGE(G31:G40)</t>
  </si>
  <si>
    <t>=SQRT(B47)</t>
  </si>
  <si>
    <t>Draw the sample of size 2 from the population consisting units 1, 2, 3, 4 and 5 prove that if sample is drawn using SRSWOR</t>
  </si>
  <si>
    <t>a.</t>
  </si>
  <si>
    <t>b.</t>
  </si>
  <si>
    <t>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</si>
</sst>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quotePrefix="1" applyBorder="1"/>
    <xf numFmtId="0" fontId="0" fillId="0" borderId="0" xfId="0" quotePrefix="1"/>
    <xf numFmtId="0" fontId="0" fillId="0" borderId="1" xfId="0" applyBorder="1" applyAlignment="1">
      <alignment horizontal="center"/>
    </xf>
    <xf numFmtId="0" fontId="0" fillId="0" borderId="0" xfId="0" quotePrefix="1" applyAlignment="1">
      <alignment wrapText="1"/>
    </xf>
    <xf numFmtId="0" fontId="0" fillId="2" borderId="1" xfId="0" applyFill="1" applyBorder="1"/>
    <xf numFmtId="0" fontId="0" fillId="2" borderId="1" xfId="0" quotePrefix="1" applyFill="1" applyBorder="1"/>
    <xf numFmtId="0" fontId="0" fillId="2" borderId="1" xfId="0" quotePrefix="1" applyFill="1" applyBorder="1" applyAlignment="1">
      <alignment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1" xfId="0" quotePrefix="1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wrapText="1"/>
    </xf>
    <xf numFmtId="164" fontId="0" fillId="0" borderId="1" xfId="0" applyNumberFormat="1" applyBorder="1"/>
    <xf numFmtId="0" fontId="0" fillId="0" borderId="0" xfId="0" applyAlignment="1">
      <alignment horizontal="right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8"/>
  <sheetViews>
    <sheetView tabSelected="1" zoomScale="160" zoomScaleNormal="160" workbookViewId="0">
      <selection activeCell="A8" sqref="A8"/>
    </sheetView>
  </sheetViews>
  <sheetFormatPr defaultRowHeight="14.5" x14ac:dyDescent="0.35"/>
  <cols>
    <col min="1" max="1" width="20.1796875" customWidth="1"/>
    <col min="4" max="4" width="20.7265625" bestFit="1" customWidth="1"/>
    <col min="5" max="5" width="19.54296875" customWidth="1"/>
  </cols>
  <sheetData>
    <row r="1" spans="1:3" x14ac:dyDescent="0.35">
      <c r="A1" t="s">
        <v>0</v>
      </c>
    </row>
    <row r="2" spans="1:3" x14ac:dyDescent="0.35">
      <c r="A2" t="s">
        <v>15</v>
      </c>
    </row>
    <row r="3" spans="1:3" x14ac:dyDescent="0.35">
      <c r="A3" t="s">
        <v>1</v>
      </c>
    </row>
    <row r="4" spans="1:3" x14ac:dyDescent="0.35">
      <c r="A4" t="s">
        <v>2</v>
      </c>
    </row>
    <row r="5" spans="1:3" x14ac:dyDescent="0.35">
      <c r="A5" t="s">
        <v>3</v>
      </c>
    </row>
    <row r="8" spans="1:3" x14ac:dyDescent="0.35">
      <c r="A8" t="s">
        <v>4</v>
      </c>
    </row>
    <row r="9" spans="1:3" x14ac:dyDescent="0.35">
      <c r="A9" t="s">
        <v>5</v>
      </c>
    </row>
    <row r="10" spans="1:3" ht="16.5" x14ac:dyDescent="0.35">
      <c r="B10" s="1" t="s">
        <v>6</v>
      </c>
      <c r="C10" s="1" t="s">
        <v>7</v>
      </c>
    </row>
    <row r="11" spans="1:3" x14ac:dyDescent="0.35">
      <c r="B11" s="1">
        <v>1</v>
      </c>
      <c r="C11" s="1">
        <f>B11^2</f>
        <v>1</v>
      </c>
    </row>
    <row r="12" spans="1:3" x14ac:dyDescent="0.35">
      <c r="B12" s="1">
        <v>2</v>
      </c>
      <c r="C12" s="1">
        <f t="shared" ref="C12:C15" si="0">B12^2</f>
        <v>4</v>
      </c>
    </row>
    <row r="13" spans="1:3" x14ac:dyDescent="0.35">
      <c r="B13" s="1">
        <v>3</v>
      </c>
      <c r="C13" s="1">
        <f t="shared" si="0"/>
        <v>9</v>
      </c>
    </row>
    <row r="14" spans="1:3" x14ac:dyDescent="0.35">
      <c r="B14" s="1">
        <v>4</v>
      </c>
      <c r="C14" s="1">
        <f t="shared" si="0"/>
        <v>16</v>
      </c>
    </row>
    <row r="15" spans="1:3" x14ac:dyDescent="0.35">
      <c r="B15" s="1">
        <v>5</v>
      </c>
      <c r="C15" s="1">
        <f t="shared" si="0"/>
        <v>25</v>
      </c>
    </row>
    <row r="16" spans="1:3" x14ac:dyDescent="0.35">
      <c r="A16" t="s">
        <v>8</v>
      </c>
      <c r="B16">
        <f>SUM(B11:B15)</f>
        <v>15</v>
      </c>
      <c r="C16">
        <f>SUM(C11:C15)</f>
        <v>55</v>
      </c>
    </row>
    <row r="18" spans="1:6" x14ac:dyDescent="0.35">
      <c r="A18" t="s">
        <v>9</v>
      </c>
    </row>
    <row r="19" spans="1:6" x14ac:dyDescent="0.35">
      <c r="A19" s="1" t="s">
        <v>10</v>
      </c>
      <c r="B19" s="1" t="s">
        <v>11</v>
      </c>
      <c r="C19" s="1">
        <f>COUNT(B11:B15)</f>
        <v>5</v>
      </c>
      <c r="D19" s="3" t="s">
        <v>19</v>
      </c>
    </row>
    <row r="20" spans="1:6" x14ac:dyDescent="0.35">
      <c r="A20" s="1" t="s">
        <v>12</v>
      </c>
      <c r="B20" s="2" t="s">
        <v>16</v>
      </c>
      <c r="C20" s="1">
        <f>AVERAGE(B11:B15)</f>
        <v>3</v>
      </c>
      <c r="D20" s="3" t="s">
        <v>20</v>
      </c>
    </row>
    <row r="21" spans="1:6" ht="16.5" x14ac:dyDescent="0.35">
      <c r="A21" s="1" t="s">
        <v>13</v>
      </c>
      <c r="B21" s="2" t="s">
        <v>17</v>
      </c>
      <c r="C21" s="1">
        <f>(STDEVP(B11:B15))^2</f>
        <v>2.0000000000000004</v>
      </c>
      <c r="D21" s="3" t="s">
        <v>21</v>
      </c>
    </row>
    <row r="22" spans="1:6" ht="16.5" x14ac:dyDescent="0.35">
      <c r="A22" s="1" t="s">
        <v>14</v>
      </c>
      <c r="B22" s="1" t="s">
        <v>18</v>
      </c>
      <c r="C22" s="1">
        <f>(STDEV(B11:B15))^2</f>
        <v>2.5000000000000004</v>
      </c>
      <c r="D22" s="3" t="s">
        <v>22</v>
      </c>
    </row>
    <row r="24" spans="1:6" x14ac:dyDescent="0.35">
      <c r="A24" s="1" t="s">
        <v>23</v>
      </c>
      <c r="B24" s="1" t="s">
        <v>24</v>
      </c>
      <c r="C24" s="1">
        <v>2</v>
      </c>
      <c r="D24" s="1"/>
    </row>
    <row r="25" spans="1:6" x14ac:dyDescent="0.35">
      <c r="A25" s="18" t="s">
        <v>26</v>
      </c>
      <c r="B25" s="18"/>
      <c r="C25" s="1">
        <f>COMBIN(C19,C24)</f>
        <v>10</v>
      </c>
      <c r="D25" s="3" t="s">
        <v>25</v>
      </c>
    </row>
    <row r="26" spans="1:6" x14ac:dyDescent="0.35">
      <c r="A26" s="18"/>
      <c r="B26" s="18"/>
      <c r="C26" s="1"/>
      <c r="D26" s="1"/>
    </row>
    <row r="28" spans="1:6" x14ac:dyDescent="0.35">
      <c r="A28" t="s">
        <v>27</v>
      </c>
    </row>
    <row r="29" spans="1:6" ht="17.5" x14ac:dyDescent="0.45">
      <c r="A29" s="1" t="s">
        <v>28</v>
      </c>
      <c r="B29" s="1" t="s">
        <v>29</v>
      </c>
      <c r="C29" s="1"/>
      <c r="D29" s="1" t="s">
        <v>30</v>
      </c>
      <c r="E29" s="2" t="s">
        <v>37</v>
      </c>
      <c r="F29" s="2" t="s">
        <v>31</v>
      </c>
    </row>
    <row r="30" spans="1:6" ht="46.5" customHeight="1" x14ac:dyDescent="0.35">
      <c r="A30" s="7"/>
      <c r="B30" s="7"/>
      <c r="C30" s="7"/>
      <c r="D30" s="8" t="s">
        <v>47</v>
      </c>
      <c r="E30" s="12" t="s">
        <v>48</v>
      </c>
      <c r="F30" s="12" t="s">
        <v>49</v>
      </c>
    </row>
    <row r="31" spans="1:6" x14ac:dyDescent="0.35">
      <c r="A31" s="1">
        <v>1</v>
      </c>
      <c r="B31" s="1">
        <v>1</v>
      </c>
      <c r="C31" s="1">
        <v>2</v>
      </c>
      <c r="D31" s="1">
        <f>AVERAGE(B31:C31)</f>
        <v>1.5</v>
      </c>
      <c r="E31" s="1">
        <f>SUMSQ(B31:C31)-((SUM(B31:C31))^2)/COUNT(B31:C31)</f>
        <v>0.5</v>
      </c>
      <c r="F31" s="1">
        <f>(STDEV(B31:C31))^2</f>
        <v>0.50000000000000011</v>
      </c>
    </row>
    <row r="32" spans="1:6" x14ac:dyDescent="0.35">
      <c r="A32" s="1">
        <v>2</v>
      </c>
      <c r="B32" s="1">
        <v>1</v>
      </c>
      <c r="C32" s="1">
        <v>3</v>
      </c>
      <c r="D32" s="1">
        <f t="shared" ref="D32:D40" si="1">AVERAGE(B32:C32)</f>
        <v>2</v>
      </c>
      <c r="E32" s="1">
        <f t="shared" ref="E32:E40" si="2">SUMSQ(B32:C32)-((SUM(B32:C32))^2)/COUNT(B32:C32)</f>
        <v>2</v>
      </c>
      <c r="F32" s="1">
        <f t="shared" ref="F32:F40" si="3">(STDEV(B32:C32))^2</f>
        <v>2.0000000000000004</v>
      </c>
    </row>
    <row r="33" spans="1:6" x14ac:dyDescent="0.35">
      <c r="A33" s="1">
        <v>3</v>
      </c>
      <c r="B33" s="1">
        <v>1</v>
      </c>
      <c r="C33" s="1">
        <v>4</v>
      </c>
      <c r="D33" s="1">
        <f t="shared" si="1"/>
        <v>2.5</v>
      </c>
      <c r="E33" s="1">
        <f t="shared" si="2"/>
        <v>4.5</v>
      </c>
      <c r="F33" s="1">
        <f t="shared" si="3"/>
        <v>4.4999999999999991</v>
      </c>
    </row>
    <row r="34" spans="1:6" x14ac:dyDescent="0.35">
      <c r="A34" s="1">
        <v>4</v>
      </c>
      <c r="B34" s="1">
        <v>1</v>
      </c>
      <c r="C34" s="1">
        <v>5</v>
      </c>
      <c r="D34" s="1">
        <f t="shared" si="1"/>
        <v>3</v>
      </c>
      <c r="E34" s="1">
        <f t="shared" si="2"/>
        <v>8</v>
      </c>
      <c r="F34" s="1">
        <f t="shared" si="3"/>
        <v>8.0000000000000018</v>
      </c>
    </row>
    <row r="35" spans="1:6" x14ac:dyDescent="0.35">
      <c r="A35" s="1">
        <v>5</v>
      </c>
      <c r="B35" s="1">
        <v>2</v>
      </c>
      <c r="C35" s="1">
        <v>3</v>
      </c>
      <c r="D35" s="1">
        <f t="shared" si="1"/>
        <v>2.5</v>
      </c>
      <c r="E35" s="1">
        <f t="shared" si="2"/>
        <v>0.5</v>
      </c>
      <c r="F35" s="1">
        <f t="shared" si="3"/>
        <v>0.50000000000000011</v>
      </c>
    </row>
    <row r="36" spans="1:6" x14ac:dyDescent="0.35">
      <c r="A36" s="1">
        <v>6</v>
      </c>
      <c r="B36" s="1">
        <v>2</v>
      </c>
      <c r="C36" s="1">
        <v>4</v>
      </c>
      <c r="D36" s="1">
        <f t="shared" si="1"/>
        <v>3</v>
      </c>
      <c r="E36" s="1">
        <f t="shared" si="2"/>
        <v>2</v>
      </c>
      <c r="F36" s="1">
        <f t="shared" si="3"/>
        <v>2.0000000000000004</v>
      </c>
    </row>
    <row r="37" spans="1:6" x14ac:dyDescent="0.35">
      <c r="A37" s="1">
        <v>7</v>
      </c>
      <c r="B37" s="1">
        <v>2</v>
      </c>
      <c r="C37" s="1">
        <v>5</v>
      </c>
      <c r="D37" s="1">
        <f t="shared" si="1"/>
        <v>3.5</v>
      </c>
      <c r="E37" s="1">
        <f t="shared" si="2"/>
        <v>4.5</v>
      </c>
      <c r="F37" s="1">
        <f t="shared" si="3"/>
        <v>4.4999999999999991</v>
      </c>
    </row>
    <row r="38" spans="1:6" x14ac:dyDescent="0.35">
      <c r="A38" s="1">
        <v>8</v>
      </c>
      <c r="B38" s="1">
        <v>3</v>
      </c>
      <c r="C38" s="1">
        <v>4</v>
      </c>
      <c r="D38" s="1">
        <f t="shared" si="1"/>
        <v>3.5</v>
      </c>
      <c r="E38" s="1">
        <f t="shared" si="2"/>
        <v>0.5</v>
      </c>
      <c r="F38" s="1">
        <f t="shared" si="3"/>
        <v>0.50000000000000011</v>
      </c>
    </row>
    <row r="39" spans="1:6" x14ac:dyDescent="0.35">
      <c r="A39" s="1">
        <v>9</v>
      </c>
      <c r="B39" s="1">
        <v>3</v>
      </c>
      <c r="C39" s="1">
        <v>5</v>
      </c>
      <c r="D39" s="1">
        <f t="shared" si="1"/>
        <v>4</v>
      </c>
      <c r="E39" s="1">
        <f t="shared" si="2"/>
        <v>2</v>
      </c>
      <c r="F39" s="1">
        <f t="shared" si="3"/>
        <v>2.0000000000000004</v>
      </c>
    </row>
    <row r="40" spans="1:6" x14ac:dyDescent="0.35">
      <c r="A40" s="1">
        <v>10</v>
      </c>
      <c r="B40" s="1">
        <v>4</v>
      </c>
      <c r="C40" s="1">
        <v>5</v>
      </c>
      <c r="D40" s="1">
        <f t="shared" si="1"/>
        <v>4.5</v>
      </c>
      <c r="E40" s="1">
        <f t="shared" si="2"/>
        <v>0.5</v>
      </c>
      <c r="F40" s="1">
        <f t="shared" si="3"/>
        <v>0.50000000000000011</v>
      </c>
    </row>
    <row r="41" spans="1:6" x14ac:dyDescent="0.35">
      <c r="A41" s="7" t="s">
        <v>8</v>
      </c>
      <c r="B41" s="7"/>
      <c r="C41" s="7"/>
      <c r="D41" s="7">
        <f>SUM(D31:D40)</f>
        <v>30</v>
      </c>
      <c r="E41" s="7"/>
      <c r="F41" s="7">
        <f>SUM(F31:F40)</f>
        <v>25.000000000000004</v>
      </c>
    </row>
    <row r="42" spans="1:6" ht="29" x14ac:dyDescent="0.35">
      <c r="A42" s="7"/>
      <c r="B42" s="7"/>
      <c r="C42" s="7"/>
      <c r="D42" s="8" t="s">
        <v>50</v>
      </c>
      <c r="E42" s="7"/>
      <c r="F42" s="9" t="s">
        <v>51</v>
      </c>
    </row>
    <row r="43" spans="1:6" x14ac:dyDescent="0.35">
      <c r="D43" s="4"/>
      <c r="F43" s="6"/>
    </row>
    <row r="44" spans="1:6" x14ac:dyDescent="0.35">
      <c r="A44" s="1"/>
      <c r="B44" s="1" t="s">
        <v>35</v>
      </c>
      <c r="C44" s="1" t="s">
        <v>36</v>
      </c>
    </row>
    <row r="45" spans="1:6" x14ac:dyDescent="0.35">
      <c r="A45" s="1" t="s">
        <v>32</v>
      </c>
      <c r="B45" s="1">
        <f>AVERAGE(D31:D40)</f>
        <v>3</v>
      </c>
      <c r="C45" s="3" t="s">
        <v>39</v>
      </c>
    </row>
    <row r="46" spans="1:6" x14ac:dyDescent="0.35">
      <c r="A46" s="1" t="s">
        <v>33</v>
      </c>
      <c r="B46" s="1">
        <f>AVERAGE(F31:F40)</f>
        <v>2.5000000000000004</v>
      </c>
      <c r="C46" s="3" t="s">
        <v>40</v>
      </c>
    </row>
    <row r="47" spans="1:6" x14ac:dyDescent="0.35">
      <c r="A47" s="1" t="s">
        <v>34</v>
      </c>
      <c r="B47" s="1">
        <f>(((C19-C24)*C22/C19*C24))</f>
        <v>3.0000000000000009</v>
      </c>
      <c r="C47" s="3" t="s">
        <v>41</v>
      </c>
    </row>
    <row r="48" spans="1:6" x14ac:dyDescent="0.35">
      <c r="A48" s="1" t="s">
        <v>38</v>
      </c>
      <c r="B48" s="1">
        <f>SQRT(B47)</f>
        <v>1.7320508075688776</v>
      </c>
      <c r="C48" s="3" t="s">
        <v>54</v>
      </c>
    </row>
  </sheetData>
  <mergeCells count="1">
    <mergeCell ref="A25:B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2"/>
  <sheetViews>
    <sheetView topLeftCell="A37" zoomScale="160" zoomScaleNormal="160" workbookViewId="0">
      <selection activeCell="F51" sqref="F51"/>
    </sheetView>
  </sheetViews>
  <sheetFormatPr defaultRowHeight="14.5" x14ac:dyDescent="0.35"/>
  <cols>
    <col min="1" max="1" width="25.26953125" customWidth="1"/>
    <col min="4" max="4" width="20.7265625" bestFit="1" customWidth="1"/>
    <col min="5" max="5" width="20.81640625" customWidth="1"/>
    <col min="6" max="6" width="14.1796875" customWidth="1"/>
  </cols>
  <sheetData>
    <row r="1" spans="1:3" x14ac:dyDescent="0.35">
      <c r="A1" t="s">
        <v>0</v>
      </c>
    </row>
    <row r="2" spans="1:3" x14ac:dyDescent="0.35">
      <c r="A2" t="s">
        <v>15</v>
      </c>
    </row>
    <row r="3" spans="1:3" x14ac:dyDescent="0.35">
      <c r="A3" t="s">
        <v>1</v>
      </c>
    </row>
    <row r="4" spans="1:3" x14ac:dyDescent="0.35">
      <c r="A4" t="s">
        <v>2</v>
      </c>
    </row>
    <row r="5" spans="1:3" x14ac:dyDescent="0.35">
      <c r="A5" t="s">
        <v>3</v>
      </c>
    </row>
    <row r="8" spans="1:3" x14ac:dyDescent="0.35">
      <c r="A8" t="s">
        <v>4</v>
      </c>
    </row>
    <row r="9" spans="1:3" x14ac:dyDescent="0.35">
      <c r="A9" t="s">
        <v>5</v>
      </c>
    </row>
    <row r="10" spans="1:3" ht="16.5" x14ac:dyDescent="0.35">
      <c r="B10" s="1" t="s">
        <v>6</v>
      </c>
      <c r="C10" s="1" t="s">
        <v>7</v>
      </c>
    </row>
    <row r="11" spans="1:3" x14ac:dyDescent="0.35">
      <c r="B11" s="1">
        <v>1</v>
      </c>
      <c r="C11" s="1">
        <f>B11^2</f>
        <v>1</v>
      </c>
    </row>
    <row r="12" spans="1:3" x14ac:dyDescent="0.35">
      <c r="B12" s="1">
        <v>2</v>
      </c>
      <c r="C12" s="1">
        <f t="shared" ref="C12:C15" si="0">B12^2</f>
        <v>4</v>
      </c>
    </row>
    <row r="13" spans="1:3" x14ac:dyDescent="0.35">
      <c r="B13" s="1">
        <v>3</v>
      </c>
      <c r="C13" s="1">
        <f t="shared" si="0"/>
        <v>9</v>
      </c>
    </row>
    <row r="14" spans="1:3" x14ac:dyDescent="0.35">
      <c r="B14" s="1">
        <v>4</v>
      </c>
      <c r="C14" s="1">
        <f t="shared" si="0"/>
        <v>16</v>
      </c>
    </row>
    <row r="15" spans="1:3" x14ac:dyDescent="0.35">
      <c r="B15" s="1">
        <v>5</v>
      </c>
      <c r="C15" s="1">
        <f t="shared" si="0"/>
        <v>25</v>
      </c>
    </row>
    <row r="16" spans="1:3" x14ac:dyDescent="0.35">
      <c r="A16" t="s">
        <v>8</v>
      </c>
      <c r="B16">
        <f>SUM(B11:B15)</f>
        <v>15</v>
      </c>
      <c r="C16">
        <f>SUM(C11:C15)</f>
        <v>55</v>
      </c>
    </row>
    <row r="18" spans="1:6" x14ac:dyDescent="0.35">
      <c r="A18" t="s">
        <v>9</v>
      </c>
      <c r="C18" t="s">
        <v>35</v>
      </c>
      <c r="D18" t="s">
        <v>36</v>
      </c>
    </row>
    <row r="19" spans="1:6" x14ac:dyDescent="0.35">
      <c r="A19" s="1" t="s">
        <v>10</v>
      </c>
      <c r="B19" s="1" t="s">
        <v>11</v>
      </c>
      <c r="C19" s="1">
        <f>COUNT(B11:B15)</f>
        <v>5</v>
      </c>
      <c r="D19" s="3" t="s">
        <v>19</v>
      </c>
    </row>
    <row r="20" spans="1:6" x14ac:dyDescent="0.35">
      <c r="A20" s="1" t="s">
        <v>12</v>
      </c>
      <c r="B20" s="2" t="s">
        <v>16</v>
      </c>
      <c r="C20" s="1">
        <f>AVERAGE(B11:B15)</f>
        <v>3</v>
      </c>
      <c r="D20" s="3" t="s">
        <v>20</v>
      </c>
    </row>
    <row r="21" spans="1:6" ht="16.5" x14ac:dyDescent="0.35">
      <c r="A21" s="1" t="s">
        <v>13</v>
      </c>
      <c r="B21" s="2" t="s">
        <v>17</v>
      </c>
      <c r="C21" s="1">
        <f>(STDEVP(B11:B15))^2</f>
        <v>2.0000000000000004</v>
      </c>
      <c r="D21" s="3" t="s">
        <v>21</v>
      </c>
    </row>
    <row r="22" spans="1:6" ht="16.5" x14ac:dyDescent="0.35">
      <c r="A22" s="1" t="s">
        <v>14</v>
      </c>
      <c r="B22" s="1" t="s">
        <v>18</v>
      </c>
      <c r="C22" s="1">
        <f>(STDEV(B11:B15))^2</f>
        <v>2.5000000000000004</v>
      </c>
      <c r="D22" s="3" t="s">
        <v>22</v>
      </c>
    </row>
    <row r="23" spans="1:6" x14ac:dyDescent="0.35">
      <c r="A23" s="1" t="s">
        <v>23</v>
      </c>
      <c r="B23" s="1" t="s">
        <v>24</v>
      </c>
      <c r="C23" s="1">
        <v>2</v>
      </c>
      <c r="D23" s="1"/>
    </row>
    <row r="24" spans="1:6" ht="36" customHeight="1" x14ac:dyDescent="0.35">
      <c r="A24" s="17" t="s">
        <v>43</v>
      </c>
      <c r="B24" s="17"/>
      <c r="C24" s="1">
        <f>C19^C23</f>
        <v>25</v>
      </c>
      <c r="D24" s="3" t="s">
        <v>42</v>
      </c>
    </row>
    <row r="25" spans="1:6" ht="26.25" customHeight="1" x14ac:dyDescent="0.35">
      <c r="A25" s="14"/>
      <c r="B25" s="14"/>
    </row>
    <row r="27" spans="1:6" x14ac:dyDescent="0.35">
      <c r="A27" t="s">
        <v>27</v>
      </c>
    </row>
    <row r="28" spans="1:6" ht="17.5" x14ac:dyDescent="0.45">
      <c r="A28" s="7" t="s">
        <v>28</v>
      </c>
      <c r="B28" s="19" t="s">
        <v>29</v>
      </c>
      <c r="C28" s="19"/>
      <c r="D28" s="7" t="s">
        <v>30</v>
      </c>
      <c r="E28" s="10" t="s">
        <v>37</v>
      </c>
      <c r="F28" s="10" t="s">
        <v>31</v>
      </c>
    </row>
    <row r="29" spans="1:6" ht="43.5" x14ac:dyDescent="0.35">
      <c r="A29" s="7"/>
      <c r="B29" s="11"/>
      <c r="C29" s="11"/>
      <c r="D29" s="8" t="s">
        <v>47</v>
      </c>
      <c r="E29" s="12" t="s">
        <v>48</v>
      </c>
      <c r="F29" s="12" t="s">
        <v>49</v>
      </c>
    </row>
    <row r="30" spans="1:6" x14ac:dyDescent="0.35">
      <c r="A30" s="1">
        <v>1</v>
      </c>
      <c r="B30" s="1">
        <v>1</v>
      </c>
      <c r="C30" s="1">
        <v>1</v>
      </c>
      <c r="D30" s="1">
        <f>AVERAGE(B30:C30)</f>
        <v>1</v>
      </c>
      <c r="E30" s="1">
        <f>SUMSQ(B30:C30)-((SUM(B30:C30))^2)/COUNT(B30:C30)</f>
        <v>0</v>
      </c>
      <c r="F30" s="1">
        <f>(STDEV(B30:C30))^2</f>
        <v>0</v>
      </c>
    </row>
    <row r="31" spans="1:6" x14ac:dyDescent="0.35">
      <c r="A31" s="1">
        <v>2</v>
      </c>
      <c r="B31" s="1">
        <v>1</v>
      </c>
      <c r="C31" s="1">
        <v>2</v>
      </c>
      <c r="D31" s="1">
        <f t="shared" ref="D31:D39" si="1">AVERAGE(B31:C31)</f>
        <v>1.5</v>
      </c>
      <c r="E31" s="1">
        <f t="shared" ref="E31:E39" si="2">SUMSQ(B31:C31)-((SUM(B31:C31))^2)/COUNT(B31:C31)</f>
        <v>0.5</v>
      </c>
      <c r="F31" s="1">
        <f t="shared" ref="F31:F39" si="3">(STDEV(B31:C31))^2</f>
        <v>0.50000000000000011</v>
      </c>
    </row>
    <row r="32" spans="1:6" x14ac:dyDescent="0.35">
      <c r="A32" s="1">
        <v>3</v>
      </c>
      <c r="B32" s="1">
        <v>1</v>
      </c>
      <c r="C32" s="1">
        <v>3</v>
      </c>
      <c r="D32" s="1">
        <f t="shared" si="1"/>
        <v>2</v>
      </c>
      <c r="E32" s="1">
        <f t="shared" si="2"/>
        <v>2</v>
      </c>
      <c r="F32" s="1">
        <f t="shared" si="3"/>
        <v>2.0000000000000004</v>
      </c>
    </row>
    <row r="33" spans="1:6" x14ac:dyDescent="0.35">
      <c r="A33" s="1">
        <v>4</v>
      </c>
      <c r="B33" s="1">
        <v>1</v>
      </c>
      <c r="C33" s="1">
        <v>4</v>
      </c>
      <c r="D33" s="1">
        <f t="shared" si="1"/>
        <v>2.5</v>
      </c>
      <c r="E33" s="1">
        <f t="shared" si="2"/>
        <v>4.5</v>
      </c>
      <c r="F33" s="1">
        <f t="shared" si="3"/>
        <v>4.4999999999999991</v>
      </c>
    </row>
    <row r="34" spans="1:6" x14ac:dyDescent="0.35">
      <c r="A34" s="1">
        <v>5</v>
      </c>
      <c r="B34" s="1">
        <v>1</v>
      </c>
      <c r="C34" s="1">
        <v>5</v>
      </c>
      <c r="D34" s="1">
        <f t="shared" si="1"/>
        <v>3</v>
      </c>
      <c r="E34" s="1">
        <f t="shared" si="2"/>
        <v>8</v>
      </c>
      <c r="F34" s="1">
        <f t="shared" si="3"/>
        <v>8.0000000000000018</v>
      </c>
    </row>
    <row r="35" spans="1:6" x14ac:dyDescent="0.35">
      <c r="A35" s="1">
        <v>6</v>
      </c>
      <c r="B35" s="1">
        <v>2</v>
      </c>
      <c r="C35" s="1">
        <v>1</v>
      </c>
      <c r="D35" s="1">
        <f t="shared" si="1"/>
        <v>1.5</v>
      </c>
      <c r="E35" s="1">
        <f t="shared" si="2"/>
        <v>0.5</v>
      </c>
      <c r="F35" s="1">
        <f t="shared" si="3"/>
        <v>0.50000000000000011</v>
      </c>
    </row>
    <row r="36" spans="1:6" x14ac:dyDescent="0.35">
      <c r="A36" s="1">
        <v>7</v>
      </c>
      <c r="B36" s="1">
        <v>2</v>
      </c>
      <c r="C36" s="1">
        <v>2</v>
      </c>
      <c r="D36" s="1">
        <f t="shared" si="1"/>
        <v>2</v>
      </c>
      <c r="E36" s="1">
        <f t="shared" si="2"/>
        <v>0</v>
      </c>
      <c r="F36" s="1">
        <f t="shared" si="3"/>
        <v>0</v>
      </c>
    </row>
    <row r="37" spans="1:6" x14ac:dyDescent="0.35">
      <c r="A37" s="1">
        <v>8</v>
      </c>
      <c r="B37" s="1">
        <v>2</v>
      </c>
      <c r="C37" s="1">
        <v>3</v>
      </c>
      <c r="D37" s="1">
        <f t="shared" si="1"/>
        <v>2.5</v>
      </c>
      <c r="E37" s="1">
        <f t="shared" si="2"/>
        <v>0.5</v>
      </c>
      <c r="F37" s="1">
        <f t="shared" si="3"/>
        <v>0.50000000000000011</v>
      </c>
    </row>
    <row r="38" spans="1:6" x14ac:dyDescent="0.35">
      <c r="A38" s="1">
        <v>9</v>
      </c>
      <c r="B38" s="1">
        <v>2</v>
      </c>
      <c r="C38" s="1">
        <v>4</v>
      </c>
      <c r="D38" s="1">
        <f t="shared" si="1"/>
        <v>3</v>
      </c>
      <c r="E38" s="1">
        <f t="shared" si="2"/>
        <v>2</v>
      </c>
      <c r="F38" s="1">
        <f t="shared" si="3"/>
        <v>2.0000000000000004</v>
      </c>
    </row>
    <row r="39" spans="1:6" x14ac:dyDescent="0.35">
      <c r="A39" s="1">
        <v>10</v>
      </c>
      <c r="B39" s="1">
        <v>2</v>
      </c>
      <c r="C39" s="1">
        <v>5</v>
      </c>
      <c r="D39" s="1">
        <f t="shared" si="1"/>
        <v>3.5</v>
      </c>
      <c r="E39" s="1">
        <f t="shared" si="2"/>
        <v>4.5</v>
      </c>
      <c r="F39" s="1">
        <f t="shared" si="3"/>
        <v>4.4999999999999991</v>
      </c>
    </row>
    <row r="40" spans="1:6" x14ac:dyDescent="0.35">
      <c r="A40" s="1">
        <v>11</v>
      </c>
      <c r="B40" s="1">
        <v>3</v>
      </c>
      <c r="C40" s="1">
        <v>1</v>
      </c>
      <c r="D40" s="1">
        <f t="shared" ref="D40:D54" si="4">AVERAGE(B40:C40)</f>
        <v>2</v>
      </c>
      <c r="E40" s="1">
        <f t="shared" ref="E40:E54" si="5">SUMSQ(B40:C40)-((SUM(B40:C40))^2)/COUNT(B40:C40)</f>
        <v>2</v>
      </c>
      <c r="F40" s="1">
        <f t="shared" ref="F40:F54" si="6">(STDEV(B40:C40))^2</f>
        <v>2.0000000000000004</v>
      </c>
    </row>
    <row r="41" spans="1:6" x14ac:dyDescent="0.35">
      <c r="A41" s="1">
        <v>12</v>
      </c>
      <c r="B41" s="1">
        <v>3</v>
      </c>
      <c r="C41" s="1">
        <v>2</v>
      </c>
      <c r="D41" s="1">
        <f t="shared" si="4"/>
        <v>2.5</v>
      </c>
      <c r="E41" s="1">
        <f t="shared" si="5"/>
        <v>0.5</v>
      </c>
      <c r="F41" s="1">
        <f t="shared" si="6"/>
        <v>0.50000000000000011</v>
      </c>
    </row>
    <row r="42" spans="1:6" x14ac:dyDescent="0.35">
      <c r="A42" s="1">
        <v>13</v>
      </c>
      <c r="B42" s="1">
        <v>3</v>
      </c>
      <c r="C42" s="1">
        <v>3</v>
      </c>
      <c r="D42" s="1">
        <f t="shared" si="4"/>
        <v>3</v>
      </c>
      <c r="E42" s="1">
        <f t="shared" si="5"/>
        <v>0</v>
      </c>
      <c r="F42" s="1">
        <f t="shared" si="6"/>
        <v>0</v>
      </c>
    </row>
    <row r="43" spans="1:6" x14ac:dyDescent="0.35">
      <c r="A43" s="1">
        <v>14</v>
      </c>
      <c r="B43" s="1">
        <v>3</v>
      </c>
      <c r="C43" s="1">
        <v>4</v>
      </c>
      <c r="D43" s="1">
        <f t="shared" si="4"/>
        <v>3.5</v>
      </c>
      <c r="E43" s="1">
        <f t="shared" si="5"/>
        <v>0.5</v>
      </c>
      <c r="F43" s="1">
        <f t="shared" si="6"/>
        <v>0.50000000000000011</v>
      </c>
    </row>
    <row r="44" spans="1:6" x14ac:dyDescent="0.35">
      <c r="A44" s="1">
        <v>15</v>
      </c>
      <c r="B44" s="1">
        <v>3</v>
      </c>
      <c r="C44" s="1">
        <v>5</v>
      </c>
      <c r="D44" s="1">
        <f t="shared" si="4"/>
        <v>4</v>
      </c>
      <c r="E44" s="1">
        <f t="shared" si="5"/>
        <v>2</v>
      </c>
      <c r="F44" s="1">
        <f t="shared" si="6"/>
        <v>2.0000000000000004</v>
      </c>
    </row>
    <row r="45" spans="1:6" x14ac:dyDescent="0.35">
      <c r="A45" s="1">
        <v>16</v>
      </c>
      <c r="B45" s="1">
        <v>4</v>
      </c>
      <c r="C45" s="1">
        <v>1</v>
      </c>
      <c r="D45" s="1">
        <f t="shared" si="4"/>
        <v>2.5</v>
      </c>
      <c r="E45" s="1">
        <f t="shared" si="5"/>
        <v>4.5</v>
      </c>
      <c r="F45" s="1">
        <f t="shared" si="6"/>
        <v>4.4999999999999991</v>
      </c>
    </row>
    <row r="46" spans="1:6" x14ac:dyDescent="0.35">
      <c r="A46" s="1">
        <v>17</v>
      </c>
      <c r="B46" s="1">
        <v>4</v>
      </c>
      <c r="C46" s="1">
        <v>2</v>
      </c>
      <c r="D46" s="1">
        <f t="shared" si="4"/>
        <v>3</v>
      </c>
      <c r="E46" s="1">
        <f t="shared" si="5"/>
        <v>2</v>
      </c>
      <c r="F46" s="1">
        <f t="shared" si="6"/>
        <v>2.0000000000000004</v>
      </c>
    </row>
    <row r="47" spans="1:6" x14ac:dyDescent="0.35">
      <c r="A47" s="1">
        <v>18</v>
      </c>
      <c r="B47" s="1">
        <v>4</v>
      </c>
      <c r="C47" s="1">
        <v>3</v>
      </c>
      <c r="D47" s="1">
        <f t="shared" si="4"/>
        <v>3.5</v>
      </c>
      <c r="E47" s="1">
        <f t="shared" si="5"/>
        <v>0.5</v>
      </c>
      <c r="F47" s="1">
        <f t="shared" si="6"/>
        <v>0.50000000000000011</v>
      </c>
    </row>
    <row r="48" spans="1:6" x14ac:dyDescent="0.35">
      <c r="A48" s="1">
        <v>19</v>
      </c>
      <c r="B48" s="1">
        <v>4</v>
      </c>
      <c r="C48" s="1">
        <v>4</v>
      </c>
      <c r="D48" s="1">
        <f t="shared" si="4"/>
        <v>4</v>
      </c>
      <c r="E48" s="1">
        <f t="shared" si="5"/>
        <v>0</v>
      </c>
      <c r="F48" s="1">
        <f t="shared" si="6"/>
        <v>0</v>
      </c>
    </row>
    <row r="49" spans="1:6" x14ac:dyDescent="0.35">
      <c r="A49" s="1">
        <v>20</v>
      </c>
      <c r="B49" s="1">
        <v>4</v>
      </c>
      <c r="C49" s="1">
        <v>5</v>
      </c>
      <c r="D49" s="1">
        <f t="shared" si="4"/>
        <v>4.5</v>
      </c>
      <c r="E49" s="1">
        <f t="shared" si="5"/>
        <v>0.5</v>
      </c>
      <c r="F49" s="1">
        <f t="shared" si="6"/>
        <v>0.50000000000000011</v>
      </c>
    </row>
    <row r="50" spans="1:6" x14ac:dyDescent="0.35">
      <c r="A50" s="1">
        <v>21</v>
      </c>
      <c r="B50" s="1">
        <v>5</v>
      </c>
      <c r="C50" s="1">
        <v>1</v>
      </c>
      <c r="D50" s="1">
        <f t="shared" si="4"/>
        <v>3</v>
      </c>
      <c r="E50" s="1">
        <f t="shared" si="5"/>
        <v>8</v>
      </c>
      <c r="F50" s="1">
        <f t="shared" si="6"/>
        <v>8.0000000000000018</v>
      </c>
    </row>
    <row r="51" spans="1:6" x14ac:dyDescent="0.35">
      <c r="A51" s="1">
        <v>22</v>
      </c>
      <c r="B51" s="1">
        <v>5</v>
      </c>
      <c r="C51" s="1">
        <v>2</v>
      </c>
      <c r="D51" s="1">
        <f t="shared" si="4"/>
        <v>3.5</v>
      </c>
      <c r="E51" s="1">
        <f t="shared" si="5"/>
        <v>4.5</v>
      </c>
      <c r="F51" s="1">
        <f t="shared" si="6"/>
        <v>4.4999999999999991</v>
      </c>
    </row>
    <row r="52" spans="1:6" x14ac:dyDescent="0.35">
      <c r="A52" s="1">
        <v>23</v>
      </c>
      <c r="B52" s="1">
        <v>5</v>
      </c>
      <c r="C52" s="1">
        <v>3</v>
      </c>
      <c r="D52" s="1">
        <f t="shared" si="4"/>
        <v>4</v>
      </c>
      <c r="E52" s="1">
        <f t="shared" si="5"/>
        <v>2</v>
      </c>
      <c r="F52" s="1">
        <f t="shared" si="6"/>
        <v>2.0000000000000004</v>
      </c>
    </row>
    <row r="53" spans="1:6" x14ac:dyDescent="0.35">
      <c r="A53" s="1">
        <v>24</v>
      </c>
      <c r="B53" s="1">
        <v>5</v>
      </c>
      <c r="C53" s="1">
        <v>4</v>
      </c>
      <c r="D53" s="1">
        <f t="shared" si="4"/>
        <v>4.5</v>
      </c>
      <c r="E53" s="1">
        <f t="shared" si="5"/>
        <v>0.5</v>
      </c>
      <c r="F53" s="1">
        <f t="shared" si="6"/>
        <v>0.50000000000000011</v>
      </c>
    </row>
    <row r="54" spans="1:6" x14ac:dyDescent="0.35">
      <c r="A54" s="1">
        <v>25</v>
      </c>
      <c r="B54" s="1">
        <v>5</v>
      </c>
      <c r="C54" s="1">
        <v>5</v>
      </c>
      <c r="D54" s="1">
        <f t="shared" si="4"/>
        <v>5</v>
      </c>
      <c r="E54" s="1">
        <f t="shared" si="5"/>
        <v>0</v>
      </c>
      <c r="F54" s="1">
        <f t="shared" si="6"/>
        <v>0</v>
      </c>
    </row>
    <row r="55" spans="1:6" x14ac:dyDescent="0.35">
      <c r="A55" s="7" t="s">
        <v>44</v>
      </c>
      <c r="B55" s="7"/>
      <c r="C55" s="7"/>
      <c r="D55" s="7">
        <f>SUM(D30:D54)</f>
        <v>75</v>
      </c>
      <c r="E55" s="7"/>
      <c r="F55" s="7">
        <f>SUM(F30:F54)</f>
        <v>50</v>
      </c>
    </row>
    <row r="56" spans="1:6" x14ac:dyDescent="0.35">
      <c r="A56" s="7"/>
      <c r="B56" s="7"/>
      <c r="C56" s="7"/>
      <c r="D56" s="8" t="s">
        <v>50</v>
      </c>
      <c r="E56" s="7"/>
      <c r="F56" s="9" t="s">
        <v>51</v>
      </c>
    </row>
    <row r="57" spans="1:6" x14ac:dyDescent="0.35">
      <c r="D57" s="4"/>
      <c r="F57" s="6"/>
    </row>
    <row r="58" spans="1:6" x14ac:dyDescent="0.35">
      <c r="A58" s="1"/>
      <c r="B58" s="1" t="s">
        <v>35</v>
      </c>
      <c r="C58" s="1" t="s">
        <v>36</v>
      </c>
    </row>
    <row r="59" spans="1:6" x14ac:dyDescent="0.35">
      <c r="A59" s="1" t="s">
        <v>32</v>
      </c>
      <c r="B59" s="1">
        <f>AVERAGE(D30:D54)</f>
        <v>3</v>
      </c>
      <c r="C59" s="3" t="s">
        <v>39</v>
      </c>
    </row>
    <row r="60" spans="1:6" x14ac:dyDescent="0.35">
      <c r="A60" s="1" t="s">
        <v>33</v>
      </c>
      <c r="B60" s="1">
        <f>AVERAGE(F30:F54)</f>
        <v>2</v>
      </c>
      <c r="C60" s="3" t="s">
        <v>40</v>
      </c>
    </row>
    <row r="61" spans="1:6" x14ac:dyDescent="0.35">
      <c r="A61" s="1" t="s">
        <v>34</v>
      </c>
      <c r="B61" s="1">
        <f>C21/SQRT(C23)</f>
        <v>1.4142135623730954</v>
      </c>
      <c r="C61" s="3" t="s">
        <v>45</v>
      </c>
    </row>
    <row r="62" spans="1:6" x14ac:dyDescent="0.35">
      <c r="A62" s="1" t="s">
        <v>38</v>
      </c>
      <c r="B62" s="1">
        <f>SQRT(B61)</f>
        <v>1.1892071150027212</v>
      </c>
      <c r="C62" s="3" t="s">
        <v>46</v>
      </c>
    </row>
  </sheetData>
  <mergeCells count="1">
    <mergeCell ref="B28:C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47"/>
  <sheetViews>
    <sheetView zoomScale="160" zoomScaleNormal="160" workbookViewId="0">
      <selection activeCell="B46" sqref="B46"/>
    </sheetView>
  </sheetViews>
  <sheetFormatPr defaultRowHeight="14.5" x14ac:dyDescent="0.35"/>
  <cols>
    <col min="1" max="1" width="20.7265625" customWidth="1"/>
    <col min="3" max="3" width="7.81640625" customWidth="1"/>
    <col min="4" max="4" width="7.1796875" customWidth="1"/>
    <col min="5" max="5" width="10.26953125" customWidth="1"/>
    <col min="6" max="6" width="18.81640625" customWidth="1"/>
    <col min="7" max="7" width="10.54296875" customWidth="1"/>
  </cols>
  <sheetData>
    <row r="1" spans="1:7" ht="31.5" customHeight="1" x14ac:dyDescent="0.35">
      <c r="A1">
        <v>1</v>
      </c>
      <c r="B1" s="26" t="s">
        <v>55</v>
      </c>
      <c r="C1" s="26"/>
      <c r="D1" s="26"/>
      <c r="E1" s="26"/>
      <c r="F1" s="26"/>
      <c r="G1" s="26"/>
    </row>
    <row r="2" spans="1:7" x14ac:dyDescent="0.35">
      <c r="A2" s="16" t="s">
        <v>56</v>
      </c>
      <c r="B2" t="s">
        <v>1</v>
      </c>
    </row>
    <row r="3" spans="1:7" x14ac:dyDescent="0.35">
      <c r="A3" s="16" t="s">
        <v>57</v>
      </c>
      <c r="B3" t="s">
        <v>2</v>
      </c>
    </row>
    <row r="4" spans="1:7" x14ac:dyDescent="0.35">
      <c r="A4" s="16" t="s">
        <v>58</v>
      </c>
      <c r="B4" t="s">
        <v>3</v>
      </c>
    </row>
    <row r="8" spans="1:7" x14ac:dyDescent="0.35">
      <c r="A8" t="s">
        <v>4</v>
      </c>
    </row>
    <row r="9" spans="1:7" x14ac:dyDescent="0.35">
      <c r="A9" t="s">
        <v>5</v>
      </c>
    </row>
    <row r="10" spans="1:7" ht="16.5" x14ac:dyDescent="0.35">
      <c r="B10" s="1" t="s">
        <v>6</v>
      </c>
      <c r="C10" s="1" t="s">
        <v>7</v>
      </c>
    </row>
    <row r="11" spans="1:7" x14ac:dyDescent="0.35">
      <c r="B11" s="1">
        <v>1</v>
      </c>
      <c r="C11" s="1">
        <f>B11^2</f>
        <v>1</v>
      </c>
    </row>
    <row r="12" spans="1:7" x14ac:dyDescent="0.35">
      <c r="B12" s="1">
        <v>2</v>
      </c>
      <c r="C12" s="1">
        <f t="shared" ref="C12:C15" si="0">B12^2</f>
        <v>4</v>
      </c>
    </row>
    <row r="13" spans="1:7" x14ac:dyDescent="0.35">
      <c r="B13" s="1">
        <v>3</v>
      </c>
      <c r="C13" s="1">
        <f t="shared" si="0"/>
        <v>9</v>
      </c>
    </row>
    <row r="14" spans="1:7" x14ac:dyDescent="0.35">
      <c r="B14" s="1">
        <v>4</v>
      </c>
      <c r="C14" s="1">
        <f t="shared" si="0"/>
        <v>16</v>
      </c>
    </row>
    <row r="15" spans="1:7" x14ac:dyDescent="0.35">
      <c r="B15" s="1">
        <v>5</v>
      </c>
      <c r="C15" s="1">
        <f t="shared" si="0"/>
        <v>25</v>
      </c>
    </row>
    <row r="16" spans="1:7" x14ac:dyDescent="0.35">
      <c r="A16" t="s">
        <v>8</v>
      </c>
      <c r="B16">
        <f>SUM(B11:B15)</f>
        <v>15</v>
      </c>
      <c r="C16">
        <f>SUM(C11:C15)</f>
        <v>55</v>
      </c>
    </row>
    <row r="18" spans="1:7" x14ac:dyDescent="0.35">
      <c r="A18" t="s">
        <v>9</v>
      </c>
      <c r="C18" t="s">
        <v>35</v>
      </c>
      <c r="D18" t="s">
        <v>36</v>
      </c>
    </row>
    <row r="19" spans="1:7" x14ac:dyDescent="0.35">
      <c r="A19" s="1" t="s">
        <v>10</v>
      </c>
      <c r="B19" s="1" t="s">
        <v>11</v>
      </c>
      <c r="C19" s="1">
        <f>COUNT(B11:B15)</f>
        <v>5</v>
      </c>
      <c r="D19" s="3" t="s">
        <v>19</v>
      </c>
    </row>
    <row r="20" spans="1:7" x14ac:dyDescent="0.35">
      <c r="A20" s="1" t="s">
        <v>12</v>
      </c>
      <c r="B20" s="2" t="s">
        <v>16</v>
      </c>
      <c r="C20" s="1">
        <f>AVERAGE(B11:B15)</f>
        <v>3</v>
      </c>
      <c r="D20" s="3" t="s">
        <v>20</v>
      </c>
    </row>
    <row r="21" spans="1:7" ht="16.5" x14ac:dyDescent="0.35">
      <c r="A21" s="1" t="s">
        <v>13</v>
      </c>
      <c r="B21" s="2" t="s">
        <v>17</v>
      </c>
      <c r="C21" s="1">
        <f>(STDEVP(B11:B15))^2</f>
        <v>2.0000000000000004</v>
      </c>
      <c r="D21" s="3" t="s">
        <v>21</v>
      </c>
    </row>
    <row r="22" spans="1:7" ht="16.5" x14ac:dyDescent="0.35">
      <c r="A22" s="1" t="s">
        <v>14</v>
      </c>
      <c r="B22" s="1" t="s">
        <v>18</v>
      </c>
      <c r="C22" s="1">
        <f>(STDEV(B11:B15))^2</f>
        <v>2.5000000000000004</v>
      </c>
      <c r="D22" s="3" t="s">
        <v>22</v>
      </c>
    </row>
    <row r="23" spans="1:7" x14ac:dyDescent="0.35">
      <c r="A23" s="1" t="s">
        <v>23</v>
      </c>
      <c r="B23" s="1" t="s">
        <v>24</v>
      </c>
      <c r="C23" s="1">
        <v>3</v>
      </c>
      <c r="D23" s="1"/>
    </row>
    <row r="24" spans="1:7" ht="15" customHeight="1" x14ac:dyDescent="0.35">
      <c r="A24" s="17" t="s">
        <v>26</v>
      </c>
      <c r="B24" s="17"/>
      <c r="C24" s="1">
        <f>COMBIN(C19,C23)</f>
        <v>10</v>
      </c>
      <c r="D24" s="3" t="s">
        <v>25</v>
      </c>
    </row>
    <row r="25" spans="1:7" x14ac:dyDescent="0.35">
      <c r="A25" s="14"/>
      <c r="B25" s="14"/>
    </row>
    <row r="27" spans="1:7" x14ac:dyDescent="0.35">
      <c r="A27" t="s">
        <v>27</v>
      </c>
    </row>
    <row r="28" spans="1:7" ht="17.5" x14ac:dyDescent="0.45">
      <c r="A28" s="5" t="s">
        <v>28</v>
      </c>
      <c r="B28" s="20" t="s">
        <v>29</v>
      </c>
      <c r="C28" s="21"/>
      <c r="D28" s="22"/>
      <c r="E28" s="5" t="s">
        <v>30</v>
      </c>
      <c r="F28" s="13" t="s">
        <v>37</v>
      </c>
      <c r="G28" s="13" t="s">
        <v>31</v>
      </c>
    </row>
    <row r="29" spans="1:7" ht="43.5" x14ac:dyDescent="0.35">
      <c r="A29" s="7"/>
      <c r="B29" s="23"/>
      <c r="C29" s="24"/>
      <c r="D29" s="25"/>
      <c r="E29" s="9" t="s">
        <v>47</v>
      </c>
      <c r="F29" s="12" t="s">
        <v>48</v>
      </c>
      <c r="G29" s="12" t="s">
        <v>49</v>
      </c>
    </row>
    <row r="30" spans="1:7" x14ac:dyDescent="0.35">
      <c r="A30" s="1">
        <v>1</v>
      </c>
      <c r="B30" s="1">
        <v>1</v>
      </c>
      <c r="C30" s="1">
        <v>2</v>
      </c>
      <c r="D30" s="1">
        <v>3</v>
      </c>
      <c r="E30" s="1">
        <f>AVERAGE(B30:D30)</f>
        <v>2</v>
      </c>
      <c r="F30" s="1">
        <f>SUMSQ(B30:D30)-((SUM(B30:D30))^2)/COUNT(B30:D30)</f>
        <v>2</v>
      </c>
      <c r="G30" s="1">
        <f>(STDEV(B30:D30))^2</f>
        <v>1</v>
      </c>
    </row>
    <row r="31" spans="1:7" x14ac:dyDescent="0.35">
      <c r="A31" s="1">
        <v>2</v>
      </c>
      <c r="B31" s="1">
        <v>1</v>
      </c>
      <c r="C31" s="1">
        <v>2</v>
      </c>
      <c r="D31" s="1">
        <v>4</v>
      </c>
      <c r="E31" s="15">
        <f t="shared" ref="E31:E39" si="1">AVERAGE(B31:D31)</f>
        <v>2.3333333333333335</v>
      </c>
      <c r="F31" s="15">
        <f t="shared" ref="F31:F39" si="2">SUMSQ(B31:D31)-((SUM(B31:D31))^2)/COUNT(B31:D31)</f>
        <v>4.6666666666666679</v>
      </c>
      <c r="G31" s="15">
        <f t="shared" ref="G31:G39" si="3">(STDEV(B31:D31))^2</f>
        <v>2.3333333333333335</v>
      </c>
    </row>
    <row r="32" spans="1:7" x14ac:dyDescent="0.35">
      <c r="A32" s="1">
        <v>3</v>
      </c>
      <c r="B32" s="1">
        <v>1</v>
      </c>
      <c r="C32" s="1">
        <v>2</v>
      </c>
      <c r="D32" s="1">
        <v>5</v>
      </c>
      <c r="E32" s="15">
        <f t="shared" si="1"/>
        <v>2.6666666666666665</v>
      </c>
      <c r="F32" s="15">
        <f t="shared" si="2"/>
        <v>8.6666666666666679</v>
      </c>
      <c r="G32" s="15">
        <f t="shared" si="3"/>
        <v>4.3333333333333348</v>
      </c>
    </row>
    <row r="33" spans="1:7" x14ac:dyDescent="0.35">
      <c r="A33" s="1">
        <v>4</v>
      </c>
      <c r="B33" s="1">
        <v>1</v>
      </c>
      <c r="C33" s="1">
        <v>3</v>
      </c>
      <c r="D33" s="1">
        <v>4</v>
      </c>
      <c r="E33" s="15">
        <f t="shared" si="1"/>
        <v>2.6666666666666665</v>
      </c>
      <c r="F33" s="15">
        <f t="shared" si="2"/>
        <v>4.6666666666666679</v>
      </c>
      <c r="G33" s="15">
        <f t="shared" si="3"/>
        <v>2.3333333333333335</v>
      </c>
    </row>
    <row r="34" spans="1:7" x14ac:dyDescent="0.35">
      <c r="A34" s="1">
        <v>5</v>
      </c>
      <c r="B34" s="1">
        <v>1</v>
      </c>
      <c r="C34" s="1">
        <v>3</v>
      </c>
      <c r="D34" s="1">
        <v>5</v>
      </c>
      <c r="E34" s="1">
        <f t="shared" si="1"/>
        <v>3</v>
      </c>
      <c r="F34" s="1">
        <f t="shared" si="2"/>
        <v>8</v>
      </c>
      <c r="G34" s="1">
        <f t="shared" si="3"/>
        <v>4</v>
      </c>
    </row>
    <row r="35" spans="1:7" x14ac:dyDescent="0.35">
      <c r="A35" s="1">
        <v>6</v>
      </c>
      <c r="B35" s="1">
        <v>1</v>
      </c>
      <c r="C35" s="1">
        <v>4</v>
      </c>
      <c r="D35" s="1">
        <v>5</v>
      </c>
      <c r="E35" s="15">
        <f t="shared" si="1"/>
        <v>3.3333333333333335</v>
      </c>
      <c r="F35" s="15">
        <f t="shared" si="2"/>
        <v>8.6666666666666643</v>
      </c>
      <c r="G35" s="15">
        <f t="shared" si="3"/>
        <v>4.333333333333333</v>
      </c>
    </row>
    <row r="36" spans="1:7" x14ac:dyDescent="0.35">
      <c r="A36" s="1">
        <v>7</v>
      </c>
      <c r="B36" s="1">
        <v>2</v>
      </c>
      <c r="C36" s="1">
        <v>3</v>
      </c>
      <c r="D36" s="1">
        <v>4</v>
      </c>
      <c r="E36" s="1">
        <f t="shared" si="1"/>
        <v>3</v>
      </c>
      <c r="F36" s="1">
        <f t="shared" si="2"/>
        <v>2</v>
      </c>
      <c r="G36" s="1">
        <f t="shared" si="3"/>
        <v>1</v>
      </c>
    </row>
    <row r="37" spans="1:7" x14ac:dyDescent="0.35">
      <c r="A37" s="1">
        <v>8</v>
      </c>
      <c r="B37" s="1">
        <v>2</v>
      </c>
      <c r="C37" s="1">
        <v>3</v>
      </c>
      <c r="D37" s="1">
        <v>5</v>
      </c>
      <c r="E37" s="15">
        <f t="shared" si="1"/>
        <v>3.3333333333333335</v>
      </c>
      <c r="F37" s="15">
        <f t="shared" si="2"/>
        <v>4.6666666666666643</v>
      </c>
      <c r="G37" s="15">
        <f t="shared" si="3"/>
        <v>2.3333333333333321</v>
      </c>
    </row>
    <row r="38" spans="1:7" x14ac:dyDescent="0.35">
      <c r="A38" s="1">
        <v>9</v>
      </c>
      <c r="B38" s="1">
        <v>2</v>
      </c>
      <c r="C38" s="1">
        <v>4</v>
      </c>
      <c r="D38" s="1">
        <v>5</v>
      </c>
      <c r="E38" s="15">
        <f t="shared" si="1"/>
        <v>3.6666666666666665</v>
      </c>
      <c r="F38" s="15">
        <f t="shared" si="2"/>
        <v>4.6666666666666643</v>
      </c>
      <c r="G38" s="15">
        <f t="shared" si="3"/>
        <v>2.3333333333333321</v>
      </c>
    </row>
    <row r="39" spans="1:7" x14ac:dyDescent="0.35">
      <c r="A39" s="1">
        <v>10</v>
      </c>
      <c r="B39" s="1">
        <v>3</v>
      </c>
      <c r="C39" s="1">
        <v>4</v>
      </c>
      <c r="D39" s="1">
        <v>5</v>
      </c>
      <c r="E39" s="1">
        <f t="shared" si="1"/>
        <v>4</v>
      </c>
      <c r="F39" s="1">
        <f t="shared" si="2"/>
        <v>2</v>
      </c>
      <c r="G39" s="1">
        <f t="shared" si="3"/>
        <v>1</v>
      </c>
    </row>
    <row r="40" spans="1:7" x14ac:dyDescent="0.35">
      <c r="A40" s="7" t="s">
        <v>8</v>
      </c>
      <c r="B40" s="7"/>
      <c r="C40" s="7"/>
      <c r="D40" s="7"/>
      <c r="E40" s="7">
        <f>SUM(E30:E39)</f>
        <v>30</v>
      </c>
      <c r="F40" s="7"/>
      <c r="G40" s="7">
        <f>SUM(G30:G39)</f>
        <v>25</v>
      </c>
    </row>
    <row r="41" spans="1:7" ht="29" x14ac:dyDescent="0.35">
      <c r="A41" s="7"/>
      <c r="B41" s="7"/>
      <c r="C41" s="7"/>
      <c r="D41" s="7"/>
      <c r="E41" s="9" t="s">
        <v>50</v>
      </c>
      <c r="F41" s="7"/>
      <c r="G41" s="9" t="s">
        <v>51</v>
      </c>
    </row>
    <row r="42" spans="1:7" x14ac:dyDescent="0.35">
      <c r="D42" s="4"/>
      <c r="F42" s="6"/>
    </row>
    <row r="43" spans="1:7" x14ac:dyDescent="0.35">
      <c r="A43" s="1"/>
      <c r="B43" s="1" t="s">
        <v>35</v>
      </c>
      <c r="C43" s="1" t="s">
        <v>36</v>
      </c>
    </row>
    <row r="44" spans="1:7" x14ac:dyDescent="0.35">
      <c r="A44" s="1" t="s">
        <v>32</v>
      </c>
      <c r="B44" s="1">
        <f>AVERAGE(E30:E39)</f>
        <v>3</v>
      </c>
      <c r="C44" s="3" t="s">
        <v>52</v>
      </c>
    </row>
    <row r="45" spans="1:7" x14ac:dyDescent="0.35">
      <c r="A45" s="1" t="s">
        <v>33</v>
      </c>
      <c r="B45" s="1">
        <f>AVERAGE(G30:G39)</f>
        <v>2.5</v>
      </c>
      <c r="C45" s="3" t="s">
        <v>53</v>
      </c>
    </row>
    <row r="46" spans="1:7" x14ac:dyDescent="0.35">
      <c r="A46" s="1" t="s">
        <v>34</v>
      </c>
      <c r="B46" s="1">
        <f>(((C19-C23)*C22/C19*C23))</f>
        <v>3.0000000000000009</v>
      </c>
      <c r="C46" s="3" t="s">
        <v>41</v>
      </c>
    </row>
    <row r="47" spans="1:7" x14ac:dyDescent="0.35">
      <c r="A47" s="1" t="s">
        <v>38</v>
      </c>
      <c r="B47" s="1">
        <f>SQRT(B46)</f>
        <v>1.7320508075688776</v>
      </c>
      <c r="C47" s="3" t="s">
        <v>54</v>
      </c>
    </row>
  </sheetData>
  <mergeCells count="3">
    <mergeCell ref="B28:D28"/>
    <mergeCell ref="B29:D29"/>
    <mergeCell ref="B1:G1"/>
  </mergeCells>
  <printOptions headings="1" gridLines="1"/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SRSWOR</vt:lpstr>
      <vt:lpstr>SRSWR</vt:lpstr>
      <vt:lpstr>SRSWOR3</vt:lpstr>
      <vt:lpstr>Sheet4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PrakashbdrAmatya</dc:creator>
  <cp:lastModifiedBy>Deepak Bhattarai</cp:lastModifiedBy>
  <dcterms:created xsi:type="dcterms:W3CDTF">2016-09-16T07:16:40Z</dcterms:created>
  <dcterms:modified xsi:type="dcterms:W3CDTF">2025-08-09T14:17:42Z</dcterms:modified>
</cp:coreProperties>
</file>