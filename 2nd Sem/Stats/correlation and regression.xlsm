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24226"/>
  <mc:AlternateContent xmlns:mc="http://schemas.openxmlformats.org/markup-compatibility/2006">
    <mc:Choice Requires="x15">
      <x15ac:absPath xmlns:x15ac="http://schemas.microsoft.com/office/spreadsheetml/2010/11/ac" url="D:\Users\user\onedrive\book written\bba practical tutorial excel\"/>
    </mc:Choice>
  </mc:AlternateContent>
  <xr:revisionPtr revIDLastSave="0" documentId="13_ncr:1_{3796939A-1869-43DD-BB11-6ABCE588A503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Karl Pearson" sheetId="1" r:id="rId1"/>
    <sheet name="Spearman" sheetId="2" r:id="rId2"/>
    <sheet name="Regression" sheetId="3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7" i="3" l="1"/>
  <c r="B46" i="3"/>
  <c r="B43" i="3"/>
  <c r="B42" i="3"/>
  <c r="D4" i="3" s="1" a="1"/>
  <c r="D16" i="3" s="1"/>
  <c r="F16" i="3" s="1"/>
  <c r="D7" i="3" l="1"/>
  <c r="F7" i="3" s="1"/>
  <c r="D15" i="3"/>
  <c r="F15" i="3" s="1"/>
  <c r="D23" i="3"/>
  <c r="F23" i="3" s="1"/>
  <c r="D11" i="3"/>
  <c r="F11" i="3" s="1"/>
  <c r="D19" i="3"/>
  <c r="F19" i="3" s="1"/>
  <c r="D10" i="3"/>
  <c r="F10" i="3" s="1"/>
  <c r="D18" i="3"/>
  <c r="F18" i="3" s="1"/>
  <c r="D9" i="3"/>
  <c r="F9" i="3" s="1"/>
  <c r="D17" i="3"/>
  <c r="F17" i="3" s="1"/>
  <c r="D6" i="3"/>
  <c r="F6" i="3" s="1"/>
  <c r="D14" i="3"/>
  <c r="F14" i="3" s="1"/>
  <c r="D22" i="3"/>
  <c r="F22" i="3" s="1"/>
  <c r="D5" i="3"/>
  <c r="F5" i="3" s="1"/>
  <c r="D13" i="3"/>
  <c r="F13" i="3" s="1"/>
  <c r="D21" i="3"/>
  <c r="F21" i="3" s="1"/>
  <c r="D4" i="3"/>
  <c r="F4" i="3" s="1"/>
  <c r="D12" i="3"/>
  <c r="F12" i="3" s="1"/>
  <c r="D20" i="3"/>
  <c r="F20" i="3" s="1"/>
  <c r="D8" i="3"/>
  <c r="F8" i="3" s="1"/>
  <c r="C20" i="2" l="1"/>
  <c r="C19" i="2"/>
  <c r="C18" i="2"/>
  <c r="C17" i="2"/>
  <c r="D4" i="2" a="1"/>
  <c r="D10" i="2" s="1"/>
  <c r="C4" i="2" a="1"/>
  <c r="C13" i="2" s="1"/>
  <c r="C65" i="1"/>
  <c r="C64" i="1"/>
  <c r="E63" i="1"/>
  <c r="D63" i="1"/>
  <c r="C62" i="1"/>
  <c r="C60" i="1"/>
  <c r="C56" i="1"/>
  <c r="B56" i="1"/>
  <c r="D33" i="1"/>
  <c r="E33" i="1"/>
  <c r="F33" i="1"/>
  <c r="D34" i="1"/>
  <c r="E34" i="1"/>
  <c r="F34" i="1"/>
  <c r="D35" i="1"/>
  <c r="E35" i="1"/>
  <c r="F35" i="1"/>
  <c r="D36" i="1"/>
  <c r="E36" i="1"/>
  <c r="F36" i="1"/>
  <c r="D37" i="1"/>
  <c r="E37" i="1"/>
  <c r="F37" i="1"/>
  <c r="D38" i="1"/>
  <c r="E38" i="1"/>
  <c r="F38" i="1"/>
  <c r="D39" i="1"/>
  <c r="E39" i="1"/>
  <c r="F39" i="1"/>
  <c r="D40" i="1"/>
  <c r="E40" i="1"/>
  <c r="F40" i="1"/>
  <c r="D41" i="1"/>
  <c r="E41" i="1"/>
  <c r="F41" i="1"/>
  <c r="D42" i="1"/>
  <c r="E42" i="1"/>
  <c r="F42" i="1"/>
  <c r="D43" i="1"/>
  <c r="E43" i="1"/>
  <c r="F43" i="1"/>
  <c r="D44" i="1"/>
  <c r="E44" i="1"/>
  <c r="F44" i="1"/>
  <c r="D45" i="1"/>
  <c r="E45" i="1"/>
  <c r="F45" i="1"/>
  <c r="D46" i="1"/>
  <c r="E46" i="1"/>
  <c r="F46" i="1"/>
  <c r="D47" i="1"/>
  <c r="E47" i="1"/>
  <c r="F47" i="1"/>
  <c r="D48" i="1"/>
  <c r="E48" i="1"/>
  <c r="F48" i="1"/>
  <c r="D49" i="1"/>
  <c r="E49" i="1"/>
  <c r="F49" i="1"/>
  <c r="D50" i="1"/>
  <c r="E50" i="1"/>
  <c r="F50" i="1"/>
  <c r="D51" i="1"/>
  <c r="E51" i="1"/>
  <c r="F51" i="1"/>
  <c r="D52" i="1"/>
  <c r="E52" i="1"/>
  <c r="F52" i="1"/>
  <c r="D53" i="1"/>
  <c r="E53" i="1"/>
  <c r="F53" i="1"/>
  <c r="D54" i="1"/>
  <c r="E54" i="1"/>
  <c r="F54" i="1"/>
  <c r="D55" i="1"/>
  <c r="E55" i="1"/>
  <c r="F55" i="1"/>
  <c r="F32" i="1"/>
  <c r="E32" i="1"/>
  <c r="D32" i="1"/>
  <c r="D56" i="1" l="1"/>
  <c r="F56" i="1"/>
  <c r="C61" i="1" s="1"/>
  <c r="E56" i="1"/>
  <c r="C12" i="2"/>
  <c r="C8" i="2"/>
  <c r="C7" i="2"/>
  <c r="E7" i="2" s="1"/>
  <c r="F7" i="2" s="1"/>
  <c r="C4" i="2"/>
  <c r="C9" i="2"/>
  <c r="D9" i="2"/>
  <c r="C11" i="2"/>
  <c r="E11" i="2" s="1"/>
  <c r="F11" i="2" s="1"/>
  <c r="D8" i="2"/>
  <c r="C10" i="2"/>
  <c r="E10" i="2" s="1"/>
  <c r="F10" i="2" s="1"/>
  <c r="D7" i="2"/>
  <c r="D6" i="2"/>
  <c r="D5" i="2"/>
  <c r="D13" i="2"/>
  <c r="E13" i="2" s="1"/>
  <c r="F13" i="2" s="1"/>
  <c r="D4" i="2"/>
  <c r="D12" i="2"/>
  <c r="C6" i="2"/>
  <c r="D11" i="2"/>
  <c r="C5" i="2"/>
  <c r="C76" i="1" l="1"/>
  <c r="B78" i="1" s="1"/>
  <c r="C68" i="1"/>
  <c r="B70" i="1" s="1"/>
  <c r="E9" i="2"/>
  <c r="F9" i="2" s="1"/>
  <c r="E12" i="2"/>
  <c r="F12" i="2" s="1"/>
  <c r="E6" i="2"/>
  <c r="F6" i="2" s="1"/>
  <c r="E8" i="2"/>
  <c r="F8" i="2" s="1"/>
  <c r="E5" i="2"/>
  <c r="F5" i="2" s="1"/>
  <c r="E4" i="2"/>
  <c r="F4" i="2" s="1"/>
  <c r="C73" i="1" l="1"/>
  <c r="C74" i="1"/>
  <c r="F14" i="2"/>
  <c r="C21" i="2" s="1"/>
  <c r="C22" i="2" s="1"/>
  <c r="C24" i="2" l="1"/>
  <c r="C25" i="2" s="1"/>
  <c r="B27" i="2" s="1"/>
  <c r="C31" i="2" l="1"/>
  <c r="C30" i="2"/>
</calcChain>
</file>

<file path=xl/sharedStrings.xml><?xml version="1.0" encoding="utf-8"?>
<sst xmlns="http://schemas.openxmlformats.org/spreadsheetml/2006/main" count="140" uniqueCount="124">
  <si>
    <t>Age of Husband</t>
  </si>
  <si>
    <t>Age of wife</t>
  </si>
  <si>
    <t>Calculate Karl Pearson's correlation coefficient test its significance and find the limits of population correlation coefficient.</t>
  </si>
  <si>
    <t>solution</t>
  </si>
  <si>
    <t>Age of Husband(X)</t>
  </si>
  <si>
    <t>Age of wife (Y)</t>
  </si>
  <si>
    <r>
      <t>X</t>
    </r>
    <r>
      <rPr>
        <vertAlign val="superscript"/>
        <sz val="11"/>
        <color theme="1"/>
        <rFont val="Calibri"/>
        <family val="2"/>
        <scheme val="minor"/>
      </rPr>
      <t>2</t>
    </r>
  </si>
  <si>
    <r>
      <t>Y</t>
    </r>
    <r>
      <rPr>
        <vertAlign val="superscript"/>
        <sz val="11"/>
        <color theme="1"/>
        <rFont val="Calibri"/>
        <family val="2"/>
        <scheme val="minor"/>
      </rPr>
      <t>2</t>
    </r>
  </si>
  <si>
    <t>XY</t>
  </si>
  <si>
    <t>sum</t>
  </si>
  <si>
    <t>Formula</t>
  </si>
  <si>
    <t>=B31^2</t>
  </si>
  <si>
    <t>B31</t>
  </si>
  <si>
    <t>C31</t>
  </si>
  <si>
    <t>=C31^2</t>
  </si>
  <si>
    <t>=B31*C31</t>
  </si>
  <si>
    <t>=SUM(B32:B55)</t>
  </si>
  <si>
    <t>=SUM(C32:C55)</t>
  </si>
  <si>
    <t>=SUM(D32:D55)</t>
  </si>
  <si>
    <t>=SUM(F32:F55)</t>
  </si>
  <si>
    <t>=SUM(E32:E55)</t>
  </si>
  <si>
    <t>Here</t>
  </si>
  <si>
    <t>number of obs.</t>
  </si>
  <si>
    <t>n</t>
  </si>
  <si>
    <t>correlation coefficient</t>
  </si>
  <si>
    <t>r</t>
  </si>
  <si>
    <t>note</t>
  </si>
  <si>
    <t>using excel formula</t>
  </si>
  <si>
    <t>using data analysis</t>
  </si>
  <si>
    <t>=CORREL(B32:B55,C32:C55)</t>
  </si>
  <si>
    <t>=(C60*F56-B56*C56)/((SQRT(C60*D56-B56^2))*(SQRT(C60*E56-C56^2)))</t>
  </si>
  <si>
    <t xml:space="preserve">using formula </t>
  </si>
  <si>
    <t>Probable error</t>
  </si>
  <si>
    <t>P.E.</t>
  </si>
  <si>
    <t>=0.6745*(1-C61^2)/SQRT(C60)</t>
  </si>
  <si>
    <t>Decision</t>
  </si>
  <si>
    <t>=IF(C68&gt;C61,"it is insignificant",IF(6*C68&lt;C61,"It is significant","No Conclusion"))</t>
  </si>
  <si>
    <t>Limits of population correlation coefficient</t>
  </si>
  <si>
    <t>lower limit</t>
  </si>
  <si>
    <t>Upper limit</t>
  </si>
  <si>
    <t>=C61-C68</t>
  </si>
  <si>
    <t>=C61+C68</t>
  </si>
  <si>
    <t>Find coefficient of determination</t>
  </si>
  <si>
    <t>Coefficient of determination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</si>
  <si>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</si>
  <si>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t>=C61^2</t>
  </si>
  <si>
    <t>of the variation is presented by the regression among total varation in the data.</t>
  </si>
  <si>
    <t>i.e.</t>
  </si>
  <si>
    <t>table to calculate rank correlation</t>
  </si>
  <si>
    <t>Marks in A</t>
  </si>
  <si>
    <t>Marks in B</t>
  </si>
  <si>
    <t>Rank of A</t>
  </si>
  <si>
    <t>Rank of B</t>
  </si>
  <si>
    <t xml:space="preserve">here </t>
  </si>
  <si>
    <t>value</t>
  </si>
  <si>
    <t>formula</t>
  </si>
  <si>
    <t>=COUNT(A4:A13)</t>
  </si>
  <si>
    <t>m1</t>
  </si>
  <si>
    <t>=COUNTIF(A4:A13,B18)</t>
  </si>
  <si>
    <t>m2</t>
  </si>
  <si>
    <t>=COUNTIF(A4:A13,B19)</t>
  </si>
  <si>
    <t>m3</t>
  </si>
  <si>
    <t>=COUNTIF(B4:B13,B20)</t>
  </si>
  <si>
    <r>
      <rPr>
        <sz val="11"/>
        <color theme="1"/>
        <rFont val="Calibri"/>
        <family val="2"/>
      </rPr>
      <t>Σd</t>
    </r>
    <r>
      <rPr>
        <vertAlign val="superscript"/>
        <sz val="11"/>
        <color theme="1"/>
        <rFont val="Calibri"/>
        <family val="2"/>
      </rPr>
      <t>2</t>
    </r>
  </si>
  <si>
    <t>=F14</t>
  </si>
  <si>
    <t>Spearman's Rank Correlation</t>
  </si>
  <si>
    <t>=1-(6*(C21+(C18*(C18^2)-1)/12)+(C19*((C19^2)-1)/12)+(C20*((C20^2)-1)/12))/(C17*(C17^2)-1)</t>
  </si>
  <si>
    <t>=0.6745*(1-C22^2)/SQRT(C17)</t>
  </si>
  <si>
    <t>6*P.E.</t>
  </si>
  <si>
    <t>=6*C24</t>
  </si>
  <si>
    <t>result</t>
  </si>
  <si>
    <t>=IF(C22&lt;G25,"it is insignificant",IF(C22&gt;C25,"it is significant","No Conclusion"))</t>
  </si>
  <si>
    <t>limits of population correlation coefficients</t>
  </si>
  <si>
    <t>=C22-C24</t>
  </si>
  <si>
    <t>upper limit</t>
  </si>
  <si>
    <t>=C22+C24</t>
  </si>
  <si>
    <t>=RANK(B4:B13,B4:B13,0)</t>
  </si>
  <si>
    <t>=RANK(C4:C13,C4:C13,0)</t>
  </si>
  <si>
    <t>d</t>
  </si>
  <si>
    <r>
      <t>d</t>
    </r>
    <r>
      <rPr>
        <vertAlign val="superscript"/>
        <sz val="11"/>
        <color theme="1"/>
        <rFont val="Calibri"/>
        <family val="2"/>
        <scheme val="minor"/>
      </rPr>
      <t>2</t>
    </r>
  </si>
  <si>
    <t>Employee number</t>
  </si>
  <si>
    <t>Production (X)</t>
  </si>
  <si>
    <t>% change in production (Y)</t>
  </si>
  <si>
    <t>Expected y</t>
  </si>
  <si>
    <t>residual</t>
  </si>
  <si>
    <t>=TREND(C4:C23,B4:B23,B4:B23,B42)</t>
  </si>
  <si>
    <t>=C4-D4</t>
  </si>
  <si>
    <t>a</t>
  </si>
  <si>
    <t>=INTERCEPT(C4:C23,B4:B23)</t>
  </si>
  <si>
    <t>b</t>
  </si>
  <si>
    <t>=SLOPE(C4:C23,B4:B23)</t>
  </si>
  <si>
    <t>the required regression equation is y = 0.6711892 + 0.091519 x</t>
  </si>
  <si>
    <t>SEE</t>
  </si>
  <si>
    <t>=STEYX(C4:C23,B4:B23)</t>
  </si>
  <si>
    <t>coeff. Of detm.</t>
  </si>
  <si>
    <t>=RSQ(C4:C23,B4:B23)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</si>
  <si>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</si>
  <si>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</si>
  <si>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</si>
  <si>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</si>
  <si>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</si>
  <si>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</si>
  <si>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</si>
  <si>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</si>
  <si>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</si>
  <si>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</si>
  <si>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</si>
  <si>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</si>
  <si>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</si>
  <si>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</si>
  <si>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</si>
  <si>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</si>
  <si>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</si>
  <si>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</si>
  <si>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</si>
  <si>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</si>
  <si>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Lower 95.0%</t>
  </si>
  <si>
    <t>Upper 95.0%</t>
  </si>
  <si>
    <t>Intercept</t>
  </si>
  <si>
    <t>Upper 95%</t>
  </si>
  <si>
    <t>RESIDUAL OUTPUT</t>
  </si>
  <si>
    <t>Observation</t>
  </si>
  <si>
    <t>Predicted % change in production (Y)</t>
  </si>
  <si>
    <t>Residuals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</si>
</sst>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1" xfId="0" quotePrefix="1" applyBorder="1" applyAlignment="1">
      <alignment wrapText="1"/>
    </xf>
    <xf numFmtId="0" fontId="0" fillId="0" borderId="1" xfId="0" quotePrefix="1" applyBorder="1"/>
    <xf numFmtId="0" fontId="0" fillId="2" borderId="1" xfId="0" applyFill="1" applyBorder="1"/>
    <xf numFmtId="0" fontId="0" fillId="2" borderId="1" xfId="0" quotePrefix="1" applyFill="1" applyBorder="1"/>
    <xf numFmtId="0" fontId="0" fillId="2" borderId="1" xfId="0" applyFill="1" applyBorder="1" applyAlignment="1">
      <alignment wrapText="1"/>
    </xf>
    <xf numFmtId="0" fontId="0" fillId="2" borderId="1" xfId="0" quotePrefix="1" applyFill="1" applyBorder="1" applyAlignment="1">
      <alignment wrapText="1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0" fillId="2" borderId="1" xfId="0" applyFill="1" applyBorder="1" applyAlignment="1"/>
    <xf numFmtId="0" fontId="0" fillId="0" borderId="0" xfId="0" quotePrefix="1" applyAlignment="1">
      <alignment wrapText="1"/>
    </xf>
    <xf numFmtId="9" fontId="0" fillId="0" borderId="0" xfId="1" applyFont="1"/>
    <xf numFmtId="10" fontId="0" fillId="0" borderId="0" xfId="1" applyNumberFormat="1" applyFont="1"/>
    <xf numFmtId="0" fontId="0" fillId="0" borderId="0" xfId="0" applyBorder="1"/>
    <xf numFmtId="0" fontId="0" fillId="0" borderId="0" xfId="0" quotePrefix="1" applyBorder="1"/>
    <xf numFmtId="0" fontId="0" fillId="0" borderId="1" xfId="0" applyBorder="1" applyAlignment="1"/>
    <xf numFmtId="0" fontId="0" fillId="0" borderId="1" xfId="0" quotePrefix="1" applyBorder="1" applyAlignment="1"/>
    <xf numFmtId="0" fontId="4" fillId="0" borderId="1" xfId="0" applyFont="1" applyBorder="1" applyAlignment="1"/>
    <xf numFmtId="0" fontId="0" fillId="0" borderId="0" xfId="0" quotePrefix="1" applyBorder="1" applyAlignment="1">
      <alignment wrapText="1"/>
    </xf>
    <xf numFmtId="0" fontId="0" fillId="0" borderId="1" xfId="0" applyFill="1" applyBorder="1" applyAlignment="1">
      <alignment wrapText="1"/>
    </xf>
    <xf numFmtId="0" fontId="0" fillId="0" borderId="2" xfId="0" applyFill="1" applyBorder="1" applyAlignment="1">
      <alignment wrapText="1"/>
    </xf>
    <xf numFmtId="0" fontId="0" fillId="0" borderId="3" xfId="0" applyFill="1" applyBorder="1" applyAlignment="1">
      <alignment wrapText="1"/>
    </xf>
    <xf numFmtId="0" fontId="0" fillId="0" borderId="0" xfId="0" quotePrefix="1"/>
    <xf numFmtId="0" fontId="3" fillId="0" borderId="4" xfId="0" applyFont="1" applyFill="1" applyBorder="1" applyAlignment="1">
      <alignment horizontal="centerContinuous"/>
    </xf>
    <xf numFmtId="0" fontId="0" fillId="0" borderId="0" xfId="0" applyFill="1" applyBorder="1" applyAlignment="1"/>
    <xf numFmtId="0" fontId="0" fillId="0" borderId="5" xfId="0" applyFill="1" applyBorder="1" applyAlignment="1"/>
    <xf numFmtId="0" fontId="3" fillId="0" borderId="4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 wrapText="1"/>
    </xf>
    <xf numFmtId="0" fontId="0" fillId="0" borderId="2" xfId="0" quotePrefix="1" applyBorder="1" applyAlignment="1">
      <alignment horizontal="left" wrapText="1"/>
    </xf>
    <xf numFmtId="0" fontId="0" fillId="0" borderId="0" xfId="0" quotePrefix="1" applyBorder="1" applyAlignment="1">
      <alignment horizontal="left" wrapText="1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change in production vs.</a:t>
            </a:r>
            <a:r>
              <a:rPr lang="en-US" baseline="0"/>
              <a:t> production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776091748965116"/>
          <c:y val="0.16708333333333342"/>
          <c:w val="0.85547953371147334"/>
          <c:h val="0.58733012540099128"/>
        </c:manualLayout>
      </c:layout>
      <c:scatterChart>
        <c:scatterStyle val="lineMarker"/>
        <c:varyColors val="0"/>
        <c:ser>
          <c:idx val="0"/>
          <c:order val="0"/>
          <c:tx>
            <c:strRef>
              <c:f>'[1]corr reg'!$C$3</c:f>
              <c:strCache>
                <c:ptCount val="1"/>
                <c:pt idx="0">
                  <c:v>% change in production (Y)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2225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1.0431698494736633E-2"/>
                  <c:y val="-7.93066491688539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'[1]corr reg'!$B$4:$B$23</c:f>
              <c:numCache>
                <c:formatCode>General</c:formatCode>
                <c:ptCount val="20"/>
                <c:pt idx="0">
                  <c:v>47</c:v>
                </c:pt>
                <c:pt idx="1">
                  <c:v>71</c:v>
                </c:pt>
                <c:pt idx="2">
                  <c:v>64</c:v>
                </c:pt>
                <c:pt idx="3">
                  <c:v>35</c:v>
                </c:pt>
                <c:pt idx="4">
                  <c:v>43</c:v>
                </c:pt>
                <c:pt idx="5">
                  <c:v>60</c:v>
                </c:pt>
                <c:pt idx="6">
                  <c:v>38</c:v>
                </c:pt>
                <c:pt idx="7">
                  <c:v>59</c:v>
                </c:pt>
                <c:pt idx="8">
                  <c:v>67</c:v>
                </c:pt>
                <c:pt idx="9">
                  <c:v>56</c:v>
                </c:pt>
                <c:pt idx="10">
                  <c:v>67</c:v>
                </c:pt>
                <c:pt idx="11">
                  <c:v>57</c:v>
                </c:pt>
                <c:pt idx="12">
                  <c:v>69</c:v>
                </c:pt>
                <c:pt idx="13">
                  <c:v>38</c:v>
                </c:pt>
                <c:pt idx="14">
                  <c:v>54</c:v>
                </c:pt>
                <c:pt idx="15">
                  <c:v>76</c:v>
                </c:pt>
                <c:pt idx="16">
                  <c:v>53</c:v>
                </c:pt>
                <c:pt idx="17">
                  <c:v>40</c:v>
                </c:pt>
                <c:pt idx="18">
                  <c:v>47</c:v>
                </c:pt>
                <c:pt idx="19">
                  <c:v>23</c:v>
                </c:pt>
              </c:numCache>
            </c:numRef>
          </c:xVal>
          <c:yVal>
            <c:numRef>
              <c:f>'[1]corr reg'!$C$4:$C$23</c:f>
              <c:numCache>
                <c:formatCode>General</c:formatCode>
                <c:ptCount val="20"/>
                <c:pt idx="0">
                  <c:v>4.2</c:v>
                </c:pt>
                <c:pt idx="1">
                  <c:v>8.1</c:v>
                </c:pt>
                <c:pt idx="2">
                  <c:v>6.8</c:v>
                </c:pt>
                <c:pt idx="3">
                  <c:v>4.3</c:v>
                </c:pt>
                <c:pt idx="4">
                  <c:v>5</c:v>
                </c:pt>
                <c:pt idx="5">
                  <c:v>7.5</c:v>
                </c:pt>
                <c:pt idx="6">
                  <c:v>4.7</c:v>
                </c:pt>
                <c:pt idx="7">
                  <c:v>5.9</c:v>
                </c:pt>
                <c:pt idx="8">
                  <c:v>6.9</c:v>
                </c:pt>
                <c:pt idx="9">
                  <c:v>5.7</c:v>
                </c:pt>
                <c:pt idx="10">
                  <c:v>5.7</c:v>
                </c:pt>
                <c:pt idx="11">
                  <c:v>5.4</c:v>
                </c:pt>
                <c:pt idx="12">
                  <c:v>7.5</c:v>
                </c:pt>
                <c:pt idx="13">
                  <c:v>3.8</c:v>
                </c:pt>
                <c:pt idx="14">
                  <c:v>5.9</c:v>
                </c:pt>
                <c:pt idx="15">
                  <c:v>6.3</c:v>
                </c:pt>
                <c:pt idx="16">
                  <c:v>5.7</c:v>
                </c:pt>
                <c:pt idx="17">
                  <c:v>4</c:v>
                </c:pt>
                <c:pt idx="18">
                  <c:v>5.2</c:v>
                </c:pt>
                <c:pt idx="19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4-4889-96E1-C101C39AA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68480"/>
        <c:axId val="155287936"/>
      </c:scatterChart>
      <c:valAx>
        <c:axId val="14486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Production 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87936"/>
        <c:crosses val="autoZero"/>
        <c:crossBetween val="midCat"/>
      </c:valAx>
      <c:valAx>
        <c:axId val="1552879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 in production (Y)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86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'[1]corr reg'!$B$4:$B$23</c:f>
              <c:numCache>
                <c:formatCode>General</c:formatCode>
                <c:ptCount val="20"/>
                <c:pt idx="0">
                  <c:v>47</c:v>
                </c:pt>
                <c:pt idx="1">
                  <c:v>71</c:v>
                </c:pt>
                <c:pt idx="2">
                  <c:v>64</c:v>
                </c:pt>
                <c:pt idx="3">
                  <c:v>35</c:v>
                </c:pt>
                <c:pt idx="4">
                  <c:v>43</c:v>
                </c:pt>
                <c:pt idx="5">
                  <c:v>60</c:v>
                </c:pt>
                <c:pt idx="6">
                  <c:v>38</c:v>
                </c:pt>
                <c:pt idx="7">
                  <c:v>59</c:v>
                </c:pt>
                <c:pt idx="8">
                  <c:v>67</c:v>
                </c:pt>
                <c:pt idx="9">
                  <c:v>56</c:v>
                </c:pt>
                <c:pt idx="10">
                  <c:v>67</c:v>
                </c:pt>
                <c:pt idx="11">
                  <c:v>57</c:v>
                </c:pt>
                <c:pt idx="12">
                  <c:v>69</c:v>
                </c:pt>
                <c:pt idx="13">
                  <c:v>38</c:v>
                </c:pt>
                <c:pt idx="14">
                  <c:v>54</c:v>
                </c:pt>
                <c:pt idx="15">
                  <c:v>76</c:v>
                </c:pt>
                <c:pt idx="16">
                  <c:v>53</c:v>
                </c:pt>
                <c:pt idx="17">
                  <c:v>40</c:v>
                </c:pt>
                <c:pt idx="18">
                  <c:v>47</c:v>
                </c:pt>
                <c:pt idx="19">
                  <c:v>23</c:v>
                </c:pt>
              </c:numCache>
            </c:numRef>
          </c:xVal>
          <c:yVal>
            <c:numRef>
              <c:f>'[1]corr reg'!$C$73:$C$92</c:f>
              <c:numCache>
                <c:formatCode>General</c:formatCode>
                <c:ptCount val="20"/>
                <c:pt idx="0">
                  <c:v>-0.77258219470538059</c:v>
                </c:pt>
                <c:pt idx="1">
                  <c:v>0.93096178479931524</c:v>
                </c:pt>
                <c:pt idx="2">
                  <c:v>0.27159479077711257</c:v>
                </c:pt>
                <c:pt idx="3">
                  <c:v>0.42564581554227088</c:v>
                </c:pt>
                <c:pt idx="4">
                  <c:v>0.39349380871050332</c:v>
                </c:pt>
                <c:pt idx="5">
                  <c:v>1.3376707941929968</c:v>
                </c:pt>
                <c:pt idx="6">
                  <c:v>0.55108881298035861</c:v>
                </c:pt>
                <c:pt idx="7">
                  <c:v>-0.17081020495303179</c:v>
                </c:pt>
                <c:pt idx="8">
                  <c:v>9.7037788215200038E-2</c:v>
                </c:pt>
                <c:pt idx="9">
                  <c:v>-9.6253202391118897E-2</c:v>
                </c:pt>
                <c:pt idx="10">
                  <c:v>-1.1029622117848001</c:v>
                </c:pt>
                <c:pt idx="11">
                  <c:v>-0.48777220324508974</c:v>
                </c:pt>
                <c:pt idx="12">
                  <c:v>0.51399978650725764</c:v>
                </c:pt>
                <c:pt idx="13">
                  <c:v>-0.34891118701964174</c:v>
                </c:pt>
                <c:pt idx="14">
                  <c:v>0.28678479931682332</c:v>
                </c:pt>
                <c:pt idx="15">
                  <c:v>-1.3266332194705388</c:v>
                </c:pt>
                <c:pt idx="16">
                  <c:v>0.17830380017079328</c:v>
                </c:pt>
                <c:pt idx="17">
                  <c:v>-0.33194918872758361</c:v>
                </c:pt>
                <c:pt idx="18">
                  <c:v>0.22741780529461941</c:v>
                </c:pt>
                <c:pt idx="19">
                  <c:v>-0.57612617421007695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5A-4FF7-BC81-2D1583DD2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94336"/>
        <c:axId val="155308416"/>
      </c:scatterChart>
      <c:valAx>
        <c:axId val="155294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308416"/>
        <c:crosses val="autoZero"/>
        <c:crossBetween val="midCat"/>
      </c:valAx>
      <c:valAx>
        <c:axId val="1553084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529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8</xdr:col>
          <xdr:colOff>99060</xdr:colOff>
          <xdr:row>60</xdr:row>
          <xdr:rowOff>754380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CA8D539-0D13-4DBB-ACC4-98998027E3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177270</xdr:colOff>
      <xdr:row>24</xdr:row>
      <xdr:rowOff>145521</xdr:rowOff>
    </xdr:from>
    <xdr:to>
      <xdr:col>9</xdr:col>
      <xdr:colOff>67541</xdr:colOff>
      <xdr:row>39</xdr:row>
      <xdr:rowOff>31221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68</xdr:row>
      <xdr:rowOff>57150</xdr:rowOff>
    </xdr:from>
    <xdr:to>
      <xdr:col>9</xdr:col>
      <xdr:colOff>4329</xdr:colOff>
      <xdr:row>78</xdr:row>
      <xdr:rowOff>77932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"/>
      <sheetName val="dist"/>
      <sheetName val="3"/>
      <sheetName val="rank"/>
      <sheetName val="corr reg"/>
      <sheetName val="hypothesis"/>
    </sheetNames>
    <sheetDataSet>
      <sheetData sheetId="0"/>
      <sheetData sheetId="1"/>
      <sheetData sheetId="2"/>
      <sheetData sheetId="3"/>
      <sheetData sheetId="4">
        <row r="3">
          <cell r="C3" t="str">
            <v>% change in production (Y)</v>
          </cell>
        </row>
        <row r="4">
          <cell r="B4">
            <v>47</v>
          </cell>
          <cell r="C4">
            <v>4.2</v>
          </cell>
        </row>
        <row r="5">
          <cell r="B5">
            <v>71</v>
          </cell>
          <cell r="C5">
            <v>8.1</v>
          </cell>
        </row>
        <row r="6">
          <cell r="B6">
            <v>64</v>
          </cell>
          <cell r="C6">
            <v>6.8</v>
          </cell>
        </row>
        <row r="7">
          <cell r="B7">
            <v>35</v>
          </cell>
          <cell r="C7">
            <v>4.3</v>
          </cell>
        </row>
        <row r="8">
          <cell r="B8">
            <v>43</v>
          </cell>
          <cell r="C8">
            <v>5</v>
          </cell>
        </row>
        <row r="9">
          <cell r="B9">
            <v>60</v>
          </cell>
          <cell r="C9">
            <v>7.5</v>
          </cell>
        </row>
        <row r="10">
          <cell r="B10">
            <v>38</v>
          </cell>
          <cell r="C10">
            <v>4.7</v>
          </cell>
        </row>
        <row r="11">
          <cell r="B11">
            <v>59</v>
          </cell>
          <cell r="C11">
            <v>5.9</v>
          </cell>
        </row>
        <row r="12">
          <cell r="B12">
            <v>67</v>
          </cell>
          <cell r="C12">
            <v>6.9</v>
          </cell>
        </row>
        <row r="13">
          <cell r="B13">
            <v>56</v>
          </cell>
          <cell r="C13">
            <v>5.7</v>
          </cell>
        </row>
        <row r="14">
          <cell r="B14">
            <v>67</v>
          </cell>
          <cell r="C14">
            <v>5.7</v>
          </cell>
        </row>
        <row r="15">
          <cell r="B15">
            <v>57</v>
          </cell>
          <cell r="C15">
            <v>5.4</v>
          </cell>
        </row>
        <row r="16">
          <cell r="B16">
            <v>69</v>
          </cell>
          <cell r="C16">
            <v>7.5</v>
          </cell>
        </row>
        <row r="17">
          <cell r="B17">
            <v>38</v>
          </cell>
          <cell r="C17">
            <v>3.8</v>
          </cell>
        </row>
        <row r="18">
          <cell r="B18">
            <v>54</v>
          </cell>
          <cell r="C18">
            <v>5.9</v>
          </cell>
        </row>
        <row r="19">
          <cell r="B19">
            <v>76</v>
          </cell>
          <cell r="C19">
            <v>6.3</v>
          </cell>
        </row>
        <row r="20">
          <cell r="B20">
            <v>53</v>
          </cell>
          <cell r="C20">
            <v>5.7</v>
          </cell>
        </row>
        <row r="21">
          <cell r="B21">
            <v>40</v>
          </cell>
          <cell r="C21">
            <v>4</v>
          </cell>
        </row>
        <row r="22">
          <cell r="B22">
            <v>47</v>
          </cell>
          <cell r="C22">
            <v>5.2</v>
          </cell>
        </row>
        <row r="23">
          <cell r="B23">
            <v>23</v>
          </cell>
          <cell r="C23">
            <v>2.2000000000000002</v>
          </cell>
        </row>
        <row r="73">
          <cell r="C73">
            <v>-0.77258219470538059</v>
          </cell>
        </row>
        <row r="74">
          <cell r="C74">
            <v>0.93096178479931524</v>
          </cell>
        </row>
        <row r="75">
          <cell r="C75">
            <v>0.27159479077711257</v>
          </cell>
        </row>
        <row r="76">
          <cell r="C76">
            <v>0.42564581554227088</v>
          </cell>
        </row>
        <row r="77">
          <cell r="C77">
            <v>0.39349380871050332</v>
          </cell>
        </row>
        <row r="78">
          <cell r="C78">
            <v>1.3376707941929968</v>
          </cell>
        </row>
        <row r="79">
          <cell r="C79">
            <v>0.55108881298035861</v>
          </cell>
        </row>
        <row r="80">
          <cell r="C80">
            <v>-0.17081020495303179</v>
          </cell>
        </row>
        <row r="81">
          <cell r="C81">
            <v>9.7037788215200038E-2</v>
          </cell>
        </row>
        <row r="82">
          <cell r="C82">
            <v>-9.6253202391118897E-2</v>
          </cell>
        </row>
        <row r="83">
          <cell r="C83">
            <v>-1.1029622117848001</v>
          </cell>
        </row>
        <row r="84">
          <cell r="C84">
            <v>-0.48777220324508974</v>
          </cell>
        </row>
        <row r="85">
          <cell r="C85">
            <v>0.51399978650725764</v>
          </cell>
        </row>
        <row r="86">
          <cell r="C86">
            <v>-0.34891118701964174</v>
          </cell>
        </row>
        <row r="87">
          <cell r="C87">
            <v>0.28678479931682332</v>
          </cell>
        </row>
        <row r="88">
          <cell r="C88">
            <v>-1.3266332194705388</v>
          </cell>
        </row>
        <row r="89">
          <cell r="C89">
            <v>0.17830380017079328</v>
          </cell>
        </row>
        <row r="90">
          <cell r="C90">
            <v>-0.33194918872758361</v>
          </cell>
        </row>
        <row r="91">
          <cell r="C91">
            <v>0.22741780529461941</v>
          </cell>
        </row>
        <row r="92">
          <cell r="C92">
            <v>-0.57612617421007695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79"/>
  <sheetViews>
    <sheetView topLeftCell="A53" zoomScale="171" workbookViewId="0">
      <selection activeCell="G17" sqref="G17"/>
    </sheetView>
  </sheetViews>
  <sheetFormatPr defaultRowHeight="14.4" x14ac:dyDescent="0.3"/>
  <cols>
    <col min="1" max="1" width="14.44140625" customWidth="1"/>
    <col min="2" max="2" width="17.6640625" bestFit="1" customWidth="1"/>
    <col min="3" max="5" width="14.44140625" bestFit="1" customWidth="1"/>
    <col min="6" max="6" width="18.5546875" bestFit="1" customWidth="1"/>
  </cols>
  <sheetData>
    <row r="1" spans="1:7" x14ac:dyDescent="0.3">
      <c r="A1" t="s">
        <v>2</v>
      </c>
    </row>
    <row r="2" spans="1:7" x14ac:dyDescent="0.3">
      <c r="A2" t="s">
        <v>42</v>
      </c>
    </row>
    <row r="3" spans="1:7" s="3" customFormat="1" x14ac:dyDescent="0.3">
      <c r="A3" s="2" t="s">
        <v>0</v>
      </c>
      <c r="B3" s="2" t="s">
        <v>1</v>
      </c>
    </row>
    <row r="4" spans="1:7" ht="28.8" x14ac:dyDescent="0.3">
      <c r="A4" s="1">
        <v>24</v>
      </c>
      <c r="B4" s="1">
        <v>23</v>
      </c>
      <c r="D4" s="2" t="s">
        <v>0</v>
      </c>
      <c r="E4" s="2" t="s">
        <v>1</v>
      </c>
      <c r="F4" s="2" t="s">
        <v>0</v>
      </c>
      <c r="G4" s="2" t="s">
        <v>1</v>
      </c>
    </row>
    <row r="5" spans="1:7" x14ac:dyDescent="0.3">
      <c r="A5" s="1">
        <v>22</v>
      </c>
      <c r="B5" s="1">
        <v>20</v>
      </c>
      <c r="D5" s="1">
        <v>24</v>
      </c>
      <c r="E5" s="1">
        <v>23</v>
      </c>
      <c r="F5" s="1">
        <v>25</v>
      </c>
      <c r="G5" s="1">
        <v>20</v>
      </c>
    </row>
    <row r="6" spans="1:7" x14ac:dyDescent="0.3">
      <c r="A6" s="1">
        <v>35</v>
      </c>
      <c r="B6" s="1">
        <v>30</v>
      </c>
      <c r="D6" s="1">
        <v>22</v>
      </c>
      <c r="E6" s="1">
        <v>20</v>
      </c>
      <c r="F6" s="1">
        <v>24</v>
      </c>
      <c r="G6" s="1">
        <v>23</v>
      </c>
    </row>
    <row r="7" spans="1:7" x14ac:dyDescent="0.3">
      <c r="A7" s="1">
        <v>35</v>
      </c>
      <c r="B7" s="1">
        <v>28</v>
      </c>
      <c r="D7" s="1">
        <v>35</v>
      </c>
      <c r="E7" s="1">
        <v>30</v>
      </c>
      <c r="F7" s="1">
        <v>34</v>
      </c>
      <c r="G7" s="1">
        <v>25</v>
      </c>
    </row>
    <row r="8" spans="1:7" x14ac:dyDescent="0.3">
      <c r="A8" s="1">
        <v>23</v>
      </c>
      <c r="B8" s="1">
        <v>20</v>
      </c>
      <c r="D8" s="1">
        <v>35</v>
      </c>
      <c r="E8" s="1">
        <v>28</v>
      </c>
      <c r="F8" s="1">
        <v>33</v>
      </c>
      <c r="G8" s="1">
        <v>23</v>
      </c>
    </row>
    <row r="9" spans="1:7" x14ac:dyDescent="0.3">
      <c r="A9" s="1">
        <v>31</v>
      </c>
      <c r="B9" s="1">
        <v>26</v>
      </c>
      <c r="D9" s="1">
        <v>23</v>
      </c>
      <c r="E9" s="1">
        <v>20</v>
      </c>
      <c r="F9" s="1">
        <v>33</v>
      </c>
      <c r="G9" s="1">
        <v>27</v>
      </c>
    </row>
    <row r="10" spans="1:7" x14ac:dyDescent="0.3">
      <c r="A10" s="1">
        <v>33</v>
      </c>
      <c r="B10" s="1">
        <v>23</v>
      </c>
      <c r="D10" s="1">
        <v>31</v>
      </c>
      <c r="E10" s="1">
        <v>26</v>
      </c>
      <c r="F10" s="1">
        <v>30</v>
      </c>
      <c r="G10" s="1">
        <v>27</v>
      </c>
    </row>
    <row r="11" spans="1:7" x14ac:dyDescent="0.3">
      <c r="A11" s="1">
        <v>33</v>
      </c>
      <c r="B11" s="1">
        <v>20</v>
      </c>
      <c r="D11" s="1">
        <v>33</v>
      </c>
      <c r="E11" s="1">
        <v>23</v>
      </c>
      <c r="F11" s="1">
        <v>19</v>
      </c>
      <c r="G11" s="1">
        <v>19</v>
      </c>
    </row>
    <row r="12" spans="1:7" x14ac:dyDescent="0.3">
      <c r="A12" s="1">
        <v>21</v>
      </c>
      <c r="B12" s="1">
        <v>21</v>
      </c>
      <c r="D12" s="1">
        <v>33</v>
      </c>
      <c r="E12" s="1">
        <v>20</v>
      </c>
      <c r="F12" s="1">
        <v>32</v>
      </c>
      <c r="G12" s="1">
        <v>19</v>
      </c>
    </row>
    <row r="13" spans="1:7" x14ac:dyDescent="0.3">
      <c r="A13" s="1">
        <v>30</v>
      </c>
      <c r="B13" s="1">
        <v>30</v>
      </c>
      <c r="D13" s="1">
        <v>21</v>
      </c>
      <c r="E13" s="1">
        <v>21</v>
      </c>
      <c r="F13" s="1">
        <v>21</v>
      </c>
      <c r="G13" s="1">
        <v>18</v>
      </c>
    </row>
    <row r="14" spans="1:7" x14ac:dyDescent="0.3">
      <c r="A14" s="1">
        <v>27</v>
      </c>
      <c r="B14" s="1">
        <v>27</v>
      </c>
      <c r="D14" s="1">
        <v>30</v>
      </c>
      <c r="E14" s="1">
        <v>30</v>
      </c>
      <c r="F14" s="1">
        <v>35</v>
      </c>
      <c r="G14" s="1">
        <v>23</v>
      </c>
    </row>
    <row r="15" spans="1:7" x14ac:dyDescent="0.3">
      <c r="A15" s="1">
        <v>25</v>
      </c>
      <c r="B15" s="1">
        <v>20</v>
      </c>
      <c r="D15" s="1">
        <v>27</v>
      </c>
      <c r="E15" s="1">
        <v>27</v>
      </c>
      <c r="F15" s="1">
        <v>27</v>
      </c>
      <c r="G15" s="1">
        <v>22</v>
      </c>
    </row>
    <row r="16" spans="1:7" x14ac:dyDescent="0.3">
      <c r="A16" s="1">
        <v>25</v>
      </c>
      <c r="B16" s="1">
        <v>20</v>
      </c>
      <c r="D16" s="1">
        <v>25</v>
      </c>
      <c r="E16" s="1">
        <v>20</v>
      </c>
      <c r="F16" s="1">
        <v>19</v>
      </c>
      <c r="G16" s="1">
        <v>19</v>
      </c>
    </row>
    <row r="17" spans="1:6" x14ac:dyDescent="0.3">
      <c r="A17" s="1">
        <v>24</v>
      </c>
      <c r="B17" s="1">
        <v>23</v>
      </c>
    </row>
    <row r="18" spans="1:6" x14ac:dyDescent="0.3">
      <c r="A18" s="1">
        <v>34</v>
      </c>
      <c r="B18" s="1">
        <v>25</v>
      </c>
    </row>
    <row r="19" spans="1:6" x14ac:dyDescent="0.3">
      <c r="A19" s="1">
        <v>33</v>
      </c>
      <c r="B19" s="1">
        <v>23</v>
      </c>
    </row>
    <row r="20" spans="1:6" x14ac:dyDescent="0.3">
      <c r="A20" s="1">
        <v>33</v>
      </c>
      <c r="B20" s="1">
        <v>27</v>
      </c>
    </row>
    <row r="21" spans="1:6" x14ac:dyDescent="0.3">
      <c r="A21" s="1">
        <v>30</v>
      </c>
      <c r="B21" s="1">
        <v>27</v>
      </c>
    </row>
    <row r="22" spans="1:6" x14ac:dyDescent="0.3">
      <c r="A22" s="1">
        <v>19</v>
      </c>
      <c r="B22" s="1">
        <v>19</v>
      </c>
    </row>
    <row r="23" spans="1:6" x14ac:dyDescent="0.3">
      <c r="A23" s="1">
        <v>32</v>
      </c>
      <c r="B23" s="1">
        <v>19</v>
      </c>
    </row>
    <row r="24" spans="1:6" x14ac:dyDescent="0.3">
      <c r="A24" s="1">
        <v>21</v>
      </c>
      <c r="B24" s="1">
        <v>18</v>
      </c>
    </row>
    <row r="25" spans="1:6" x14ac:dyDescent="0.3">
      <c r="A25" s="1">
        <v>35</v>
      </c>
      <c r="B25" s="1">
        <v>23</v>
      </c>
    </row>
    <row r="26" spans="1:6" x14ac:dyDescent="0.3">
      <c r="A26" s="1">
        <v>27</v>
      </c>
      <c r="B26" s="1">
        <v>22</v>
      </c>
    </row>
    <row r="27" spans="1:6" x14ac:dyDescent="0.3">
      <c r="A27" s="1">
        <v>19</v>
      </c>
      <c r="B27" s="1">
        <v>19</v>
      </c>
    </row>
    <row r="29" spans="1:6" x14ac:dyDescent="0.3">
      <c r="A29" t="s">
        <v>3</v>
      </c>
    </row>
    <row r="30" spans="1:6" s="3" customFormat="1" ht="16.2" x14ac:dyDescent="0.3">
      <c r="B30" s="12" t="s">
        <v>4</v>
      </c>
      <c r="C30" s="8" t="s">
        <v>5</v>
      </c>
      <c r="D30" s="8" t="s">
        <v>6</v>
      </c>
      <c r="E30" s="8" t="s">
        <v>7</v>
      </c>
      <c r="F30" s="8" t="s">
        <v>8</v>
      </c>
    </row>
    <row r="31" spans="1:6" s="3" customFormat="1" x14ac:dyDescent="0.3">
      <c r="A31" s="3" t="s">
        <v>10</v>
      </c>
      <c r="B31" s="9" t="s">
        <v>12</v>
      </c>
      <c r="C31" s="9" t="s">
        <v>13</v>
      </c>
      <c r="D31" s="9" t="s">
        <v>11</v>
      </c>
      <c r="E31" s="9" t="s">
        <v>14</v>
      </c>
      <c r="F31" s="9" t="s">
        <v>15</v>
      </c>
    </row>
    <row r="32" spans="1:6" x14ac:dyDescent="0.3">
      <c r="B32" s="1">
        <v>24</v>
      </c>
      <c r="C32" s="1">
        <v>23</v>
      </c>
      <c r="D32" s="1">
        <f>B32^2</f>
        <v>576</v>
      </c>
      <c r="E32" s="1">
        <f>C32^2</f>
        <v>529</v>
      </c>
      <c r="F32" s="1">
        <f>B32*C32</f>
        <v>552</v>
      </c>
    </row>
    <row r="33" spans="2:6" x14ac:dyDescent="0.3">
      <c r="B33" s="1">
        <v>22</v>
      </c>
      <c r="C33" s="1">
        <v>20</v>
      </c>
      <c r="D33" s="1">
        <f t="shared" ref="D33:D55" si="0">B33^2</f>
        <v>484</v>
      </c>
      <c r="E33" s="1">
        <f t="shared" ref="E33:E55" si="1">C33^2</f>
        <v>400</v>
      </c>
      <c r="F33" s="1">
        <f t="shared" ref="F33:F55" si="2">B33*C33</f>
        <v>440</v>
      </c>
    </row>
    <row r="34" spans="2:6" x14ac:dyDescent="0.3">
      <c r="B34" s="1">
        <v>35</v>
      </c>
      <c r="C34" s="1">
        <v>30</v>
      </c>
      <c r="D34" s="1">
        <f t="shared" si="0"/>
        <v>1225</v>
      </c>
      <c r="E34" s="1">
        <f t="shared" si="1"/>
        <v>900</v>
      </c>
      <c r="F34" s="1">
        <f t="shared" si="2"/>
        <v>1050</v>
      </c>
    </row>
    <row r="35" spans="2:6" x14ac:dyDescent="0.3">
      <c r="B35" s="1">
        <v>35</v>
      </c>
      <c r="C35" s="1">
        <v>28</v>
      </c>
      <c r="D35" s="1">
        <f t="shared" si="0"/>
        <v>1225</v>
      </c>
      <c r="E35" s="1">
        <f t="shared" si="1"/>
        <v>784</v>
      </c>
      <c r="F35" s="1">
        <f t="shared" si="2"/>
        <v>980</v>
      </c>
    </row>
    <row r="36" spans="2:6" x14ac:dyDescent="0.3">
      <c r="B36" s="1">
        <v>23</v>
      </c>
      <c r="C36" s="1">
        <v>20</v>
      </c>
      <c r="D36" s="1">
        <f t="shared" si="0"/>
        <v>529</v>
      </c>
      <c r="E36" s="1">
        <f t="shared" si="1"/>
        <v>400</v>
      </c>
      <c r="F36" s="1">
        <f t="shared" si="2"/>
        <v>460</v>
      </c>
    </row>
    <row r="37" spans="2:6" x14ac:dyDescent="0.3">
      <c r="B37" s="1">
        <v>31</v>
      </c>
      <c r="C37" s="1">
        <v>26</v>
      </c>
      <c r="D37" s="1">
        <f t="shared" si="0"/>
        <v>961</v>
      </c>
      <c r="E37" s="1">
        <f t="shared" si="1"/>
        <v>676</v>
      </c>
      <c r="F37" s="1">
        <f t="shared" si="2"/>
        <v>806</v>
      </c>
    </row>
    <row r="38" spans="2:6" x14ac:dyDescent="0.3">
      <c r="B38" s="1">
        <v>33</v>
      </c>
      <c r="C38" s="1">
        <v>23</v>
      </c>
      <c r="D38" s="1">
        <f t="shared" si="0"/>
        <v>1089</v>
      </c>
      <c r="E38" s="1">
        <f t="shared" si="1"/>
        <v>529</v>
      </c>
      <c r="F38" s="1">
        <f t="shared" si="2"/>
        <v>759</v>
      </c>
    </row>
    <row r="39" spans="2:6" x14ac:dyDescent="0.3">
      <c r="B39" s="1">
        <v>33</v>
      </c>
      <c r="C39" s="1">
        <v>20</v>
      </c>
      <c r="D39" s="1">
        <f t="shared" si="0"/>
        <v>1089</v>
      </c>
      <c r="E39" s="1">
        <f t="shared" si="1"/>
        <v>400</v>
      </c>
      <c r="F39" s="1">
        <f t="shared" si="2"/>
        <v>660</v>
      </c>
    </row>
    <row r="40" spans="2:6" x14ac:dyDescent="0.3">
      <c r="B40" s="1">
        <v>21</v>
      </c>
      <c r="C40" s="1">
        <v>21</v>
      </c>
      <c r="D40" s="1">
        <f t="shared" si="0"/>
        <v>441</v>
      </c>
      <c r="E40" s="1">
        <f t="shared" si="1"/>
        <v>441</v>
      </c>
      <c r="F40" s="1">
        <f t="shared" si="2"/>
        <v>441</v>
      </c>
    </row>
    <row r="41" spans="2:6" x14ac:dyDescent="0.3">
      <c r="B41" s="1">
        <v>30</v>
      </c>
      <c r="C41" s="1">
        <v>30</v>
      </c>
      <c r="D41" s="1">
        <f t="shared" si="0"/>
        <v>900</v>
      </c>
      <c r="E41" s="1">
        <f t="shared" si="1"/>
        <v>900</v>
      </c>
      <c r="F41" s="1">
        <f t="shared" si="2"/>
        <v>900</v>
      </c>
    </row>
    <row r="42" spans="2:6" x14ac:dyDescent="0.3">
      <c r="B42" s="1">
        <v>27</v>
      </c>
      <c r="C42" s="1">
        <v>27</v>
      </c>
      <c r="D42" s="1">
        <f t="shared" si="0"/>
        <v>729</v>
      </c>
      <c r="E42" s="1">
        <f t="shared" si="1"/>
        <v>729</v>
      </c>
      <c r="F42" s="1">
        <f t="shared" si="2"/>
        <v>729</v>
      </c>
    </row>
    <row r="43" spans="2:6" x14ac:dyDescent="0.3">
      <c r="B43" s="1">
        <v>25</v>
      </c>
      <c r="C43" s="1">
        <v>20</v>
      </c>
      <c r="D43" s="1">
        <f t="shared" si="0"/>
        <v>625</v>
      </c>
      <c r="E43" s="1">
        <f t="shared" si="1"/>
        <v>400</v>
      </c>
      <c r="F43" s="1">
        <f t="shared" si="2"/>
        <v>500</v>
      </c>
    </row>
    <row r="44" spans="2:6" x14ac:dyDescent="0.3">
      <c r="B44" s="1">
        <v>25</v>
      </c>
      <c r="C44" s="1">
        <v>20</v>
      </c>
      <c r="D44" s="1">
        <f t="shared" si="0"/>
        <v>625</v>
      </c>
      <c r="E44" s="1">
        <f t="shared" si="1"/>
        <v>400</v>
      </c>
      <c r="F44" s="1">
        <f t="shared" si="2"/>
        <v>500</v>
      </c>
    </row>
    <row r="45" spans="2:6" x14ac:dyDescent="0.3">
      <c r="B45" s="1">
        <v>24</v>
      </c>
      <c r="C45" s="1">
        <v>23</v>
      </c>
      <c r="D45" s="1">
        <f t="shared" si="0"/>
        <v>576</v>
      </c>
      <c r="E45" s="1">
        <f t="shared" si="1"/>
        <v>529</v>
      </c>
      <c r="F45" s="1">
        <f t="shared" si="2"/>
        <v>552</v>
      </c>
    </row>
    <row r="46" spans="2:6" x14ac:dyDescent="0.3">
      <c r="B46" s="1">
        <v>34</v>
      </c>
      <c r="C46" s="1">
        <v>25</v>
      </c>
      <c r="D46" s="1">
        <f t="shared" si="0"/>
        <v>1156</v>
      </c>
      <c r="E46" s="1">
        <f t="shared" si="1"/>
        <v>625</v>
      </c>
      <c r="F46" s="1">
        <f t="shared" si="2"/>
        <v>850</v>
      </c>
    </row>
    <row r="47" spans="2:6" x14ac:dyDescent="0.3">
      <c r="B47" s="1">
        <v>33</v>
      </c>
      <c r="C47" s="1">
        <v>23</v>
      </c>
      <c r="D47" s="1">
        <f t="shared" si="0"/>
        <v>1089</v>
      </c>
      <c r="E47" s="1">
        <f t="shared" si="1"/>
        <v>529</v>
      </c>
      <c r="F47" s="1">
        <f t="shared" si="2"/>
        <v>759</v>
      </c>
    </row>
    <row r="48" spans="2:6" x14ac:dyDescent="0.3">
      <c r="B48" s="1">
        <v>33</v>
      </c>
      <c r="C48" s="1">
        <v>27</v>
      </c>
      <c r="D48" s="1">
        <f t="shared" si="0"/>
        <v>1089</v>
      </c>
      <c r="E48" s="1">
        <f t="shared" si="1"/>
        <v>729</v>
      </c>
      <c r="F48" s="1">
        <f t="shared" si="2"/>
        <v>891</v>
      </c>
    </row>
    <row r="49" spans="1:6" x14ac:dyDescent="0.3">
      <c r="B49" s="1">
        <v>30</v>
      </c>
      <c r="C49" s="1">
        <v>27</v>
      </c>
      <c r="D49" s="1">
        <f t="shared" si="0"/>
        <v>900</v>
      </c>
      <c r="E49" s="1">
        <f t="shared" si="1"/>
        <v>729</v>
      </c>
      <c r="F49" s="1">
        <f t="shared" si="2"/>
        <v>810</v>
      </c>
    </row>
    <row r="50" spans="1:6" x14ac:dyDescent="0.3">
      <c r="B50" s="1">
        <v>19</v>
      </c>
      <c r="C50" s="1">
        <v>19</v>
      </c>
      <c r="D50" s="1">
        <f t="shared" si="0"/>
        <v>361</v>
      </c>
      <c r="E50" s="1">
        <f t="shared" si="1"/>
        <v>361</v>
      </c>
      <c r="F50" s="1">
        <f t="shared" si="2"/>
        <v>361</v>
      </c>
    </row>
    <row r="51" spans="1:6" x14ac:dyDescent="0.3">
      <c r="B51" s="1">
        <v>32</v>
      </c>
      <c r="C51" s="1">
        <v>19</v>
      </c>
      <c r="D51" s="1">
        <f t="shared" si="0"/>
        <v>1024</v>
      </c>
      <c r="E51" s="1">
        <f t="shared" si="1"/>
        <v>361</v>
      </c>
      <c r="F51" s="1">
        <f t="shared" si="2"/>
        <v>608</v>
      </c>
    </row>
    <row r="52" spans="1:6" x14ac:dyDescent="0.3">
      <c r="B52" s="1">
        <v>21</v>
      </c>
      <c r="C52" s="1">
        <v>18</v>
      </c>
      <c r="D52" s="1">
        <f t="shared" si="0"/>
        <v>441</v>
      </c>
      <c r="E52" s="1">
        <f t="shared" si="1"/>
        <v>324</v>
      </c>
      <c r="F52" s="1">
        <f t="shared" si="2"/>
        <v>378</v>
      </c>
    </row>
    <row r="53" spans="1:6" x14ac:dyDescent="0.3">
      <c r="B53" s="1">
        <v>35</v>
      </c>
      <c r="C53" s="1">
        <v>23</v>
      </c>
      <c r="D53" s="1">
        <f t="shared" si="0"/>
        <v>1225</v>
      </c>
      <c r="E53" s="1">
        <f t="shared" si="1"/>
        <v>529</v>
      </c>
      <c r="F53" s="1">
        <f t="shared" si="2"/>
        <v>805</v>
      </c>
    </row>
    <row r="54" spans="1:6" x14ac:dyDescent="0.3">
      <c r="B54" s="1">
        <v>27</v>
      </c>
      <c r="C54" s="1">
        <v>22</v>
      </c>
      <c r="D54" s="1">
        <f t="shared" si="0"/>
        <v>729</v>
      </c>
      <c r="E54" s="1">
        <f t="shared" si="1"/>
        <v>484</v>
      </c>
      <c r="F54" s="1">
        <f t="shared" si="2"/>
        <v>594</v>
      </c>
    </row>
    <row r="55" spans="1:6" x14ac:dyDescent="0.3">
      <c r="B55" s="1">
        <v>19</v>
      </c>
      <c r="C55" s="1">
        <v>19</v>
      </c>
      <c r="D55" s="1">
        <f t="shared" si="0"/>
        <v>361</v>
      </c>
      <c r="E55" s="1">
        <f t="shared" si="1"/>
        <v>361</v>
      </c>
      <c r="F55" s="1">
        <f t="shared" si="2"/>
        <v>361</v>
      </c>
    </row>
    <row r="56" spans="1:6" x14ac:dyDescent="0.3">
      <c r="A56" t="s">
        <v>9</v>
      </c>
      <c r="B56" s="6">
        <f>SUM(B32:B55)</f>
        <v>671</v>
      </c>
      <c r="C56" s="6">
        <f t="shared" ref="C56:F56" si="3">SUM(C32:C55)</f>
        <v>553</v>
      </c>
      <c r="D56" s="6">
        <f t="shared" si="3"/>
        <v>19449</v>
      </c>
      <c r="E56" s="6">
        <f t="shared" si="3"/>
        <v>13049</v>
      </c>
      <c r="F56" s="6">
        <f t="shared" si="3"/>
        <v>15746</v>
      </c>
    </row>
    <row r="57" spans="1:6" x14ac:dyDescent="0.3">
      <c r="A57" t="s">
        <v>10</v>
      </c>
      <c r="B57" s="7" t="s">
        <v>16</v>
      </c>
      <c r="C57" s="7" t="s">
        <v>17</v>
      </c>
      <c r="D57" s="7" t="s">
        <v>18</v>
      </c>
      <c r="E57" s="7" t="s">
        <v>20</v>
      </c>
      <c r="F57" s="7" t="s">
        <v>19</v>
      </c>
    </row>
    <row r="59" spans="1:6" x14ac:dyDescent="0.3">
      <c r="A59" t="s">
        <v>21</v>
      </c>
      <c r="E59" t="s">
        <v>10</v>
      </c>
      <c r="F59" t="s">
        <v>26</v>
      </c>
    </row>
    <row r="60" spans="1:6" x14ac:dyDescent="0.3">
      <c r="A60" s="2" t="s">
        <v>22</v>
      </c>
      <c r="B60" s="1" t="s">
        <v>23</v>
      </c>
      <c r="C60" s="1">
        <f>COUNT(B32:B55)</f>
        <v>24</v>
      </c>
      <c r="D60" s="1"/>
      <c r="E60" s="1"/>
      <c r="F60" s="1"/>
    </row>
    <row r="61" spans="1:6" ht="86.4" x14ac:dyDescent="0.3">
      <c r="A61" s="2" t="s">
        <v>24</v>
      </c>
      <c r="B61" s="1" t="s">
        <v>25</v>
      </c>
      <c r="C61" s="1">
        <f>(C60*F56-B56*C56)/((SQRT(C60*D56-B56^2))*(SQRT(C60*E56-C56^2)))</f>
        <v>0.61982937694778939</v>
      </c>
      <c r="D61" s="1"/>
      <c r="E61" s="4" t="s">
        <v>30</v>
      </c>
      <c r="F61" s="1" t="s">
        <v>31</v>
      </c>
    </row>
    <row r="62" spans="1:6" x14ac:dyDescent="0.3">
      <c r="A62" s="1"/>
      <c r="B62" s="1"/>
      <c r="C62" s="1">
        <f>CORREL(B32:B55,C32:C55)</f>
        <v>0.61982937694778928</v>
      </c>
      <c r="D62" s="1"/>
      <c r="E62" s="5" t="s">
        <v>29</v>
      </c>
      <c r="F62" s="1" t="s">
        <v>27</v>
      </c>
    </row>
    <row r="63" spans="1:6" ht="28.8" x14ac:dyDescent="0.3">
      <c r="A63" s="1"/>
      <c r="B63" s="1"/>
      <c r="C63" s="10"/>
      <c r="D63" s="11" t="str">
        <f>B30</f>
        <v>Age of Husband(X)</v>
      </c>
      <c r="E63" s="11" t="str">
        <f>C30</f>
        <v>Age of wife (Y)</v>
      </c>
      <c r="F63" s="1" t="s">
        <v>28</v>
      </c>
    </row>
    <row r="64" spans="1:6" x14ac:dyDescent="0.3">
      <c r="A64" s="1"/>
      <c r="B64" s="1"/>
      <c r="C64" s="12" t="str">
        <f>B30</f>
        <v>Age of Husband(X)</v>
      </c>
      <c r="D64" s="12">
        <v>1</v>
      </c>
      <c r="E64" s="12"/>
      <c r="F64" s="1"/>
    </row>
    <row r="65" spans="1:6" x14ac:dyDescent="0.3">
      <c r="A65" s="1"/>
      <c r="B65" s="1"/>
      <c r="C65" s="12" t="str">
        <f>C30</f>
        <v>Age of wife (Y)</v>
      </c>
      <c r="D65" s="12">
        <v>0.61982937694778928</v>
      </c>
      <c r="E65" s="12">
        <v>1</v>
      </c>
      <c r="F65" s="1"/>
    </row>
    <row r="66" spans="1:6" x14ac:dyDescent="0.3">
      <c r="A66" s="1"/>
      <c r="B66" s="1"/>
      <c r="C66" s="1"/>
      <c r="D66" s="1"/>
      <c r="E66" s="1"/>
      <c r="F66" s="1"/>
    </row>
    <row r="67" spans="1:6" x14ac:dyDescent="0.3">
      <c r="A67" s="1"/>
      <c r="B67" s="1"/>
      <c r="C67" s="1"/>
      <c r="D67" s="1"/>
      <c r="E67" s="1"/>
      <c r="F67" s="1"/>
    </row>
    <row r="68" spans="1:6" x14ac:dyDescent="0.3">
      <c r="A68" s="2" t="s">
        <v>32</v>
      </c>
      <c r="B68" s="1" t="s">
        <v>33</v>
      </c>
      <c r="C68" s="1">
        <f>0.6745*(1-C61^2)/SQRT(C60)</f>
        <v>8.4786002328848795E-2</v>
      </c>
      <c r="D68" s="1"/>
      <c r="E68" s="5" t="s">
        <v>34</v>
      </c>
      <c r="F68" s="1"/>
    </row>
    <row r="69" spans="1:6" x14ac:dyDescent="0.3">
      <c r="A69" s="1"/>
      <c r="B69" s="1"/>
      <c r="C69" s="1"/>
      <c r="D69" s="1"/>
      <c r="E69" s="1"/>
      <c r="F69" s="1"/>
    </row>
    <row r="70" spans="1:6" ht="86.4" x14ac:dyDescent="0.3">
      <c r="A70" s="1" t="s">
        <v>35</v>
      </c>
      <c r="B70" s="1" t="str">
        <f>IF(C68&gt;C61,"it is insignificant",IF(6*C68&lt;C61,"It is significant","No Conclusion"))</f>
        <v>It is significant</v>
      </c>
      <c r="C70" s="1"/>
      <c r="D70" s="1"/>
      <c r="E70" s="4" t="s">
        <v>36</v>
      </c>
      <c r="F70" s="1"/>
    </row>
    <row r="72" spans="1:6" x14ac:dyDescent="0.3">
      <c r="A72" t="s">
        <v>37</v>
      </c>
    </row>
    <row r="73" spans="1:6" x14ac:dyDescent="0.3">
      <c r="A73" s="1" t="s">
        <v>38</v>
      </c>
      <c r="B73" s="1"/>
      <c r="C73" s="1">
        <f>C61-C68</f>
        <v>0.53504337461894058</v>
      </c>
      <c r="D73" s="1"/>
      <c r="E73" s="5" t="s">
        <v>40</v>
      </c>
      <c r="F73" s="1"/>
    </row>
    <row r="74" spans="1:6" x14ac:dyDescent="0.3">
      <c r="A74" s="1" t="s">
        <v>39</v>
      </c>
      <c r="B74" s="1"/>
      <c r="C74" s="1">
        <f>C61+C68</f>
        <v>0.7046153792766382</v>
      </c>
      <c r="D74" s="1"/>
      <c r="E74" s="5" t="s">
        <v>41</v>
      </c>
      <c r="F74" s="1"/>
    </row>
    <row r="76" spans="1:6" ht="28.8" x14ac:dyDescent="0.3">
      <c r="A76" s="2" t="s">
        <v>43</v>
      </c>
      <c r="B76" s="1" t="s">
        <v>44</v>
      </c>
      <c r="C76" s="1">
        <f>C61^2</f>
        <v>0.38418845652748479</v>
      </c>
      <c r="D76" s="1"/>
      <c r="E76" s="5" t="s">
        <v>45</v>
      </c>
      <c r="F76" s="1"/>
    </row>
    <row r="78" spans="1:6" x14ac:dyDescent="0.3">
      <c r="A78" t="s">
        <v>47</v>
      </c>
      <c r="B78" s="15">
        <f>C76</f>
        <v>0.38418845652748479</v>
      </c>
      <c r="C78" t="s">
        <v>46</v>
      </c>
    </row>
    <row r="79" spans="1:6" x14ac:dyDescent="0.3">
      <c r="B79" s="14"/>
    </row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1025" r:id="rId4">
          <objectPr defaultSize="0" r:id="rId5">
            <anchor moveWithCells="1">
              <from>
                <xdr:col>5</xdr:col>
                <xdr:colOff>0</xdr:colOff>
                <xdr:row>60</xdr:row>
                <xdr:rowOff>0</xdr:rowOff>
              </from>
              <to>
                <xdr:col>8</xdr:col>
                <xdr:colOff>99060</xdr:colOff>
                <xdr:row>60</xdr:row>
                <xdr:rowOff>754380</xdr:rowOff>
              </to>
            </anchor>
          </objectPr>
        </oleObject>
      </mc:Choice>
      <mc:Fallback>
        <oleObject progId="Equation.DSMT4" shapeId="102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G33"/>
  <sheetViews>
    <sheetView workbookViewId="0">
      <selection activeCell="B16" sqref="B16"/>
    </sheetView>
  </sheetViews>
  <sheetFormatPr defaultRowHeight="14.4" x14ac:dyDescent="0.3"/>
  <cols>
    <col min="1" max="1" width="12.5546875" customWidth="1"/>
    <col min="2" max="2" width="13.88671875" bestFit="1" customWidth="1"/>
    <col min="3" max="3" width="12" bestFit="1" customWidth="1"/>
    <col min="4" max="4" width="20.5546875" customWidth="1"/>
    <col min="5" max="5" width="19.44140625" customWidth="1"/>
  </cols>
  <sheetData>
    <row r="2" spans="1:7" x14ac:dyDescent="0.3">
      <c r="A2" t="s">
        <v>48</v>
      </c>
    </row>
    <row r="3" spans="1:7" ht="16.2" x14ac:dyDescent="0.3">
      <c r="A3" s="1" t="s">
        <v>49</v>
      </c>
      <c r="B3" s="1" t="s">
        <v>50</v>
      </c>
      <c r="C3" s="1" t="s">
        <v>51</v>
      </c>
      <c r="D3" s="1" t="s">
        <v>52</v>
      </c>
      <c r="E3" s="1" t="s">
        <v>78</v>
      </c>
      <c r="F3" s="1" t="s">
        <v>79</v>
      </c>
    </row>
    <row r="4" spans="1:7" x14ac:dyDescent="0.3">
      <c r="A4" s="1">
        <v>67</v>
      </c>
      <c r="B4" s="1">
        <v>31</v>
      </c>
      <c r="C4" s="1">
        <f t="array" ref="C4:C13">RANK(A4:A13,A4:A13,0)</f>
        <v>1</v>
      </c>
      <c r="D4" s="1">
        <f t="array" ref="D4:D13">RANK(B4:B13,B4:B13,0)</f>
        <v>6</v>
      </c>
      <c r="E4" s="1">
        <f>C4-D4</f>
        <v>-5</v>
      </c>
      <c r="F4" s="1">
        <f>E4^2</f>
        <v>25</v>
      </c>
    </row>
    <row r="5" spans="1:7" x14ac:dyDescent="0.3">
      <c r="A5" s="1">
        <v>41</v>
      </c>
      <c r="B5" s="1">
        <v>29</v>
      </c>
      <c r="C5" s="1">
        <v>7</v>
      </c>
      <c r="D5" s="1">
        <v>7</v>
      </c>
      <c r="E5" s="1">
        <f t="shared" ref="E5:E13" si="0">C5-D5</f>
        <v>0</v>
      </c>
      <c r="F5" s="1">
        <f t="shared" ref="F5:F13" si="1">E5^2</f>
        <v>0</v>
      </c>
    </row>
    <row r="6" spans="1:7" x14ac:dyDescent="0.3">
      <c r="A6" s="1">
        <v>41</v>
      </c>
      <c r="B6" s="1">
        <v>70</v>
      </c>
      <c r="C6" s="1">
        <v>7</v>
      </c>
      <c r="D6" s="1">
        <v>2</v>
      </c>
      <c r="E6" s="1">
        <f t="shared" si="0"/>
        <v>5</v>
      </c>
      <c r="F6" s="1">
        <f t="shared" si="1"/>
        <v>25</v>
      </c>
    </row>
    <row r="7" spans="1:7" x14ac:dyDescent="0.3">
      <c r="A7" s="1">
        <v>60</v>
      </c>
      <c r="B7" s="1">
        <v>79</v>
      </c>
      <c r="C7" s="1">
        <v>4</v>
      </c>
      <c r="D7" s="1">
        <v>1</v>
      </c>
      <c r="E7" s="1">
        <f t="shared" si="0"/>
        <v>3</v>
      </c>
      <c r="F7" s="1">
        <f t="shared" si="1"/>
        <v>9</v>
      </c>
    </row>
    <row r="8" spans="1:7" x14ac:dyDescent="0.3">
      <c r="A8" s="1">
        <v>41</v>
      </c>
      <c r="B8" s="1">
        <v>21</v>
      </c>
      <c r="C8" s="1">
        <v>7</v>
      </c>
      <c r="D8" s="1">
        <v>8</v>
      </c>
      <c r="E8" s="1">
        <f t="shared" si="0"/>
        <v>-1</v>
      </c>
      <c r="F8" s="1">
        <f t="shared" si="1"/>
        <v>1</v>
      </c>
    </row>
    <row r="9" spans="1:7" x14ac:dyDescent="0.3">
      <c r="A9" s="1">
        <v>39</v>
      </c>
      <c r="B9" s="1">
        <v>21</v>
      </c>
      <c r="C9" s="1">
        <v>10</v>
      </c>
      <c r="D9" s="1">
        <v>8</v>
      </c>
      <c r="E9" s="1">
        <f t="shared" si="0"/>
        <v>2</v>
      </c>
      <c r="F9" s="1">
        <f t="shared" si="1"/>
        <v>4</v>
      </c>
    </row>
    <row r="10" spans="1:7" x14ac:dyDescent="0.3">
      <c r="A10" s="1">
        <v>56</v>
      </c>
      <c r="B10" s="1">
        <v>68</v>
      </c>
      <c r="C10" s="1">
        <v>5</v>
      </c>
      <c r="D10" s="1">
        <v>3</v>
      </c>
      <c r="E10" s="1">
        <f t="shared" si="0"/>
        <v>2</v>
      </c>
      <c r="F10" s="1">
        <f t="shared" si="1"/>
        <v>4</v>
      </c>
    </row>
    <row r="11" spans="1:7" x14ac:dyDescent="0.3">
      <c r="A11" s="1">
        <v>61</v>
      </c>
      <c r="B11" s="1">
        <v>21</v>
      </c>
      <c r="C11" s="1">
        <v>3</v>
      </c>
      <c r="D11" s="1">
        <v>8</v>
      </c>
      <c r="E11" s="1">
        <f t="shared" si="0"/>
        <v>-5</v>
      </c>
      <c r="F11" s="1">
        <f t="shared" si="1"/>
        <v>25</v>
      </c>
    </row>
    <row r="12" spans="1:7" x14ac:dyDescent="0.3">
      <c r="A12" s="1">
        <v>52</v>
      </c>
      <c r="B12" s="1">
        <v>40</v>
      </c>
      <c r="C12" s="1">
        <v>6</v>
      </c>
      <c r="D12" s="1">
        <v>4</v>
      </c>
      <c r="E12" s="1">
        <f t="shared" si="0"/>
        <v>2</v>
      </c>
      <c r="F12" s="1">
        <f t="shared" si="1"/>
        <v>4</v>
      </c>
    </row>
    <row r="13" spans="1:7" x14ac:dyDescent="0.3">
      <c r="A13" s="1">
        <v>67</v>
      </c>
      <c r="B13" s="1">
        <v>37</v>
      </c>
      <c r="C13" s="1">
        <v>1</v>
      </c>
      <c r="D13" s="1">
        <v>5</v>
      </c>
      <c r="E13" s="1">
        <f t="shared" si="0"/>
        <v>-4</v>
      </c>
      <c r="F13" s="1">
        <f t="shared" si="1"/>
        <v>16</v>
      </c>
    </row>
    <row r="14" spans="1:7" s="3" customFormat="1" ht="28.8" x14ac:dyDescent="0.3">
      <c r="A14" s="3" t="s">
        <v>10</v>
      </c>
      <c r="C14" s="13" t="s">
        <v>76</v>
      </c>
      <c r="D14" s="21" t="s">
        <v>77</v>
      </c>
      <c r="F14">
        <f>SUM(F4:F13)</f>
        <v>113</v>
      </c>
    </row>
    <row r="15" spans="1:7" x14ac:dyDescent="0.3">
      <c r="E15" s="16"/>
      <c r="F15" s="16"/>
      <c r="G15" s="16"/>
    </row>
    <row r="16" spans="1:7" x14ac:dyDescent="0.3">
      <c r="A16" s="18" t="s">
        <v>53</v>
      </c>
      <c r="B16" s="18"/>
      <c r="C16" s="18" t="s">
        <v>54</v>
      </c>
      <c r="D16" s="18" t="s">
        <v>55</v>
      </c>
      <c r="E16" s="16"/>
      <c r="F16" s="16"/>
      <c r="G16" s="16"/>
    </row>
    <row r="17" spans="1:7" x14ac:dyDescent="0.3">
      <c r="A17" s="18" t="s">
        <v>23</v>
      </c>
      <c r="B17" s="18"/>
      <c r="C17" s="18">
        <f>COUNT(A4:A13)</f>
        <v>10</v>
      </c>
      <c r="D17" s="19" t="s">
        <v>56</v>
      </c>
      <c r="E17" s="16"/>
      <c r="F17" s="16"/>
      <c r="G17" s="16"/>
    </row>
    <row r="18" spans="1:7" x14ac:dyDescent="0.3">
      <c r="A18" s="18" t="s">
        <v>57</v>
      </c>
      <c r="B18" s="18">
        <v>41</v>
      </c>
      <c r="C18" s="18">
        <f>COUNTIF(A4:A13,B18)</f>
        <v>3</v>
      </c>
      <c r="D18" s="19" t="s">
        <v>58</v>
      </c>
      <c r="E18" s="16"/>
      <c r="F18" s="16"/>
      <c r="G18" s="16"/>
    </row>
    <row r="19" spans="1:7" x14ac:dyDescent="0.3">
      <c r="A19" s="18" t="s">
        <v>59</v>
      </c>
      <c r="B19" s="18">
        <v>67</v>
      </c>
      <c r="C19" s="18">
        <f>COUNTIF(A4:A13,B19)</f>
        <v>2</v>
      </c>
      <c r="D19" s="19" t="s">
        <v>60</v>
      </c>
      <c r="E19" s="16"/>
      <c r="F19" s="16"/>
      <c r="G19" s="16"/>
    </row>
    <row r="20" spans="1:7" x14ac:dyDescent="0.3">
      <c r="A20" s="18" t="s">
        <v>61</v>
      </c>
      <c r="B20" s="18">
        <v>21</v>
      </c>
      <c r="C20" s="18">
        <f>COUNTIF(B4:B13,B20)</f>
        <v>3</v>
      </c>
      <c r="D20" s="19" t="s">
        <v>62</v>
      </c>
      <c r="E20" s="16"/>
      <c r="F20" s="16"/>
      <c r="G20" s="16"/>
    </row>
    <row r="21" spans="1:7" ht="16.2" x14ac:dyDescent="0.3">
      <c r="A21" s="20" t="s">
        <v>63</v>
      </c>
      <c r="B21" s="18"/>
      <c r="C21" s="18">
        <f>F14</f>
        <v>113</v>
      </c>
      <c r="D21" s="19" t="s">
        <v>64</v>
      </c>
      <c r="E21" s="16"/>
      <c r="F21" s="16"/>
      <c r="G21" s="16"/>
    </row>
    <row r="22" spans="1:7" ht="46.5" customHeight="1" x14ac:dyDescent="0.3">
      <c r="A22" s="20" t="s">
        <v>65</v>
      </c>
      <c r="B22" s="18"/>
      <c r="C22" s="18">
        <f>1-(6*(C21+(C18*(C18^2)-1)/12)+(C19*((C19^2)-1)/12)+(C20*((C20^2)-1)/12))/(C17*(C17^2)-1)</f>
        <v>0.30580580580580585</v>
      </c>
      <c r="D22" s="31" t="s">
        <v>66</v>
      </c>
      <c r="E22" s="32"/>
      <c r="F22" s="16"/>
      <c r="G22" s="16"/>
    </row>
    <row r="23" spans="1:7" x14ac:dyDescent="0.3">
      <c r="A23" s="18"/>
      <c r="B23" s="18"/>
      <c r="C23" s="18"/>
      <c r="D23" s="18"/>
      <c r="E23" s="16"/>
      <c r="F23" s="16"/>
      <c r="G23" s="16"/>
    </row>
    <row r="24" spans="1:7" x14ac:dyDescent="0.3">
      <c r="A24" s="18" t="s">
        <v>33</v>
      </c>
      <c r="B24" s="18"/>
      <c r="C24" s="18">
        <f>0.6745*(1-C22^2)/SQRT(C17)</f>
        <v>0.19334882020743016</v>
      </c>
      <c r="D24" s="19" t="s">
        <v>67</v>
      </c>
      <c r="E24" s="16"/>
      <c r="F24" s="16"/>
      <c r="G24" s="16"/>
    </row>
    <row r="25" spans="1:7" x14ac:dyDescent="0.3">
      <c r="A25" s="18" t="s">
        <v>68</v>
      </c>
      <c r="B25" s="18"/>
      <c r="C25" s="18">
        <f>6*C24</f>
        <v>1.160092921244581</v>
      </c>
      <c r="D25" s="19" t="s">
        <v>69</v>
      </c>
      <c r="E25" s="16"/>
      <c r="F25" s="16"/>
      <c r="G25" s="16"/>
    </row>
    <row r="26" spans="1:7" x14ac:dyDescent="0.3">
      <c r="A26" s="18"/>
      <c r="B26" s="18"/>
      <c r="C26" s="18"/>
      <c r="D26" s="18"/>
      <c r="E26" s="16"/>
      <c r="F26" s="16"/>
      <c r="G26" s="16"/>
    </row>
    <row r="27" spans="1:7" ht="44.25" customHeight="1" x14ac:dyDescent="0.3">
      <c r="A27" s="18" t="s">
        <v>70</v>
      </c>
      <c r="B27" s="18" t="str">
        <f>IF(C22&lt;G25,"it is insignificant",IF(C22&gt;C25,"it is significant","No Conclusion"))</f>
        <v>No Conclusion</v>
      </c>
      <c r="C27" s="18"/>
      <c r="D27" s="31" t="s">
        <v>71</v>
      </c>
      <c r="E27" s="32"/>
      <c r="F27" s="16"/>
      <c r="G27" s="16"/>
    </row>
    <row r="28" spans="1:7" x14ac:dyDescent="0.3">
      <c r="A28" s="18"/>
      <c r="B28" s="18"/>
      <c r="C28" s="18"/>
      <c r="D28" s="18"/>
      <c r="E28" s="16"/>
      <c r="F28" s="16"/>
      <c r="G28" s="16"/>
    </row>
    <row r="29" spans="1:7" x14ac:dyDescent="0.3">
      <c r="A29" s="18" t="s">
        <v>72</v>
      </c>
      <c r="B29" s="18"/>
      <c r="C29" s="18"/>
      <c r="D29" s="18"/>
      <c r="E29" s="16"/>
      <c r="F29" s="16"/>
      <c r="G29" s="16"/>
    </row>
    <row r="30" spans="1:7" x14ac:dyDescent="0.3">
      <c r="A30" s="18" t="s">
        <v>38</v>
      </c>
      <c r="B30" s="18"/>
      <c r="C30" s="18">
        <f>C22-C24</f>
        <v>0.11245698559837569</v>
      </c>
      <c r="D30" s="19" t="s">
        <v>73</v>
      </c>
      <c r="E30" s="16"/>
      <c r="F30" s="16"/>
      <c r="G30" s="16"/>
    </row>
    <row r="31" spans="1:7" x14ac:dyDescent="0.3">
      <c r="A31" s="18" t="s">
        <v>74</v>
      </c>
      <c r="B31" s="18"/>
      <c r="C31" s="18">
        <f>C22+C24</f>
        <v>0.49915462601323601</v>
      </c>
      <c r="D31" s="19" t="s">
        <v>75</v>
      </c>
      <c r="E31" s="16"/>
      <c r="F31" s="16"/>
      <c r="G31" s="16"/>
    </row>
    <row r="32" spans="1:7" x14ac:dyDescent="0.3">
      <c r="A32" s="16"/>
      <c r="B32" s="16"/>
      <c r="C32" s="16"/>
      <c r="D32" s="17"/>
      <c r="E32" s="16"/>
      <c r="F32" s="16"/>
      <c r="G32" s="16"/>
    </row>
    <row r="33" spans="1:7" x14ac:dyDescent="0.3">
      <c r="A33" s="16"/>
      <c r="B33" s="16"/>
      <c r="C33" s="16"/>
      <c r="D33" s="17"/>
      <c r="E33" s="16"/>
      <c r="F33" s="16"/>
      <c r="G33" s="16"/>
    </row>
  </sheetData>
  <mergeCells count="2">
    <mergeCell ref="D22:E22"/>
    <mergeCell ref="D27:E2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I89"/>
  <sheetViews>
    <sheetView tabSelected="1" topLeftCell="A9" zoomScale="145" workbookViewId="0">
      <selection activeCell="A3" sqref="A3:C23"/>
    </sheetView>
  </sheetViews>
  <sheetFormatPr defaultRowHeight="14.4" x14ac:dyDescent="0.3"/>
  <cols>
    <col min="1" max="1" width="18" bestFit="1" customWidth="1"/>
    <col min="2" max="2" width="12.44140625" customWidth="1"/>
    <col min="6" max="6" width="13.44140625" bestFit="1" customWidth="1"/>
    <col min="7" max="7" width="12" bestFit="1" customWidth="1"/>
    <col min="8" max="8" width="12.6640625" bestFit="1" customWidth="1"/>
    <col min="9" max="9" width="12.5546875" bestFit="1" customWidth="1"/>
  </cols>
  <sheetData>
    <row r="3" spans="1:7" ht="57.6" x14ac:dyDescent="0.3">
      <c r="A3" s="2" t="s">
        <v>80</v>
      </c>
      <c r="B3" s="2" t="s">
        <v>81</v>
      </c>
      <c r="C3" s="2" t="s">
        <v>82</v>
      </c>
      <c r="D3" s="22" t="s">
        <v>83</v>
      </c>
      <c r="E3" s="23" t="s">
        <v>55</v>
      </c>
      <c r="F3" s="22" t="s">
        <v>84</v>
      </c>
      <c r="G3" s="24" t="s">
        <v>55</v>
      </c>
    </row>
    <row r="4" spans="1:7" ht="57.6" x14ac:dyDescent="0.3">
      <c r="A4" s="1">
        <v>1</v>
      </c>
      <c r="B4" s="1">
        <v>47</v>
      </c>
      <c r="C4" s="1">
        <v>4.2</v>
      </c>
      <c r="D4" s="1">
        <f t="array" ref="D4:D23">TREND(C4:C23,B4:B23,B4:B23,B42)</f>
        <v>4.9725821947053808</v>
      </c>
      <c r="E4" s="13" t="s">
        <v>85</v>
      </c>
      <c r="F4" s="1">
        <f>C4-D4</f>
        <v>-0.77258219470538059</v>
      </c>
      <c r="G4" s="25" t="s">
        <v>86</v>
      </c>
    </row>
    <row r="5" spans="1:7" x14ac:dyDescent="0.3">
      <c r="A5" s="1">
        <v>2</v>
      </c>
      <c r="B5" s="1">
        <v>71</v>
      </c>
      <c r="C5" s="1">
        <v>8.1</v>
      </c>
      <c r="D5" s="1">
        <v>7.1690382152006844</v>
      </c>
      <c r="F5" s="1">
        <f t="shared" ref="F5:F23" si="0">C5-D5</f>
        <v>0.93096178479931524</v>
      </c>
    </row>
    <row r="6" spans="1:7" x14ac:dyDescent="0.3">
      <c r="A6" s="1">
        <v>3</v>
      </c>
      <c r="B6" s="1">
        <v>64</v>
      </c>
      <c r="C6" s="1">
        <v>6.8</v>
      </c>
      <c r="D6" s="1">
        <v>6.5284052092228873</v>
      </c>
      <c r="F6" s="1">
        <f t="shared" si="0"/>
        <v>0.27159479077711257</v>
      </c>
    </row>
    <row r="7" spans="1:7" x14ac:dyDescent="0.3">
      <c r="A7" s="1">
        <v>4</v>
      </c>
      <c r="B7" s="1">
        <v>35</v>
      </c>
      <c r="C7" s="1">
        <v>4.3</v>
      </c>
      <c r="D7" s="1">
        <v>3.8743541844577289</v>
      </c>
      <c r="F7" s="1">
        <f t="shared" si="0"/>
        <v>0.42564581554227088</v>
      </c>
    </row>
    <row r="8" spans="1:7" x14ac:dyDescent="0.3">
      <c r="A8" s="1">
        <v>5</v>
      </c>
      <c r="B8" s="1">
        <v>43</v>
      </c>
      <c r="C8" s="1">
        <v>5</v>
      </c>
      <c r="D8" s="1">
        <v>4.6065061912894967</v>
      </c>
      <c r="F8" s="1">
        <f t="shared" si="0"/>
        <v>0.39349380871050332</v>
      </c>
    </row>
    <row r="9" spans="1:7" x14ac:dyDescent="0.3">
      <c r="A9" s="1">
        <v>6</v>
      </c>
      <c r="B9" s="1">
        <v>60</v>
      </c>
      <c r="C9" s="1">
        <v>7.5</v>
      </c>
      <c r="D9" s="1">
        <v>6.1623292058070032</v>
      </c>
      <c r="F9" s="1">
        <f t="shared" si="0"/>
        <v>1.3376707941929968</v>
      </c>
    </row>
    <row r="10" spans="1:7" x14ac:dyDescent="0.3">
      <c r="A10" s="1">
        <v>7</v>
      </c>
      <c r="B10" s="1">
        <v>38</v>
      </c>
      <c r="C10" s="1">
        <v>4.7</v>
      </c>
      <c r="D10" s="1">
        <v>4.1489111870196416</v>
      </c>
      <c r="F10" s="1">
        <f t="shared" si="0"/>
        <v>0.55108881298035861</v>
      </c>
    </row>
    <row r="11" spans="1:7" x14ac:dyDescent="0.3">
      <c r="A11" s="1">
        <v>8</v>
      </c>
      <c r="B11" s="1">
        <v>59</v>
      </c>
      <c r="C11" s="1">
        <v>5.9</v>
      </c>
      <c r="D11" s="1">
        <v>6.0708102049530321</v>
      </c>
      <c r="F11" s="1">
        <f t="shared" si="0"/>
        <v>-0.17081020495303179</v>
      </c>
    </row>
    <row r="12" spans="1:7" x14ac:dyDescent="0.3">
      <c r="A12" s="1">
        <v>9</v>
      </c>
      <c r="B12" s="1">
        <v>67</v>
      </c>
      <c r="C12" s="1">
        <v>6.9</v>
      </c>
      <c r="D12" s="1">
        <v>6.8029622117848003</v>
      </c>
      <c r="F12" s="1">
        <f t="shared" si="0"/>
        <v>9.7037788215200038E-2</v>
      </c>
    </row>
    <row r="13" spans="1:7" x14ac:dyDescent="0.3">
      <c r="A13" s="1">
        <v>10</v>
      </c>
      <c r="B13" s="1">
        <v>56</v>
      </c>
      <c r="C13" s="1">
        <v>5.7</v>
      </c>
      <c r="D13" s="1">
        <v>5.7962532023911191</v>
      </c>
      <c r="F13" s="1">
        <f t="shared" si="0"/>
        <v>-9.6253202391118897E-2</v>
      </c>
    </row>
    <row r="14" spans="1:7" x14ac:dyDescent="0.3">
      <c r="A14" s="1">
        <v>11</v>
      </c>
      <c r="B14" s="1">
        <v>67</v>
      </c>
      <c r="C14" s="1">
        <v>5.7</v>
      </c>
      <c r="D14" s="1">
        <v>6.8029622117848003</v>
      </c>
      <c r="F14" s="1">
        <f t="shared" si="0"/>
        <v>-1.1029622117848001</v>
      </c>
    </row>
    <row r="15" spans="1:7" x14ac:dyDescent="0.3">
      <c r="A15" s="1">
        <v>12</v>
      </c>
      <c r="B15" s="1">
        <v>57</v>
      </c>
      <c r="C15" s="1">
        <v>5.4</v>
      </c>
      <c r="D15" s="1">
        <v>5.8877722032450901</v>
      </c>
      <c r="F15" s="1">
        <f t="shared" si="0"/>
        <v>-0.48777220324508974</v>
      </c>
    </row>
    <row r="16" spans="1:7" x14ac:dyDescent="0.3">
      <c r="A16" s="1">
        <v>13</v>
      </c>
      <c r="B16" s="1">
        <v>69</v>
      </c>
      <c r="C16" s="1">
        <v>7.5</v>
      </c>
      <c r="D16" s="1">
        <v>6.9860002134927424</v>
      </c>
      <c r="F16" s="1">
        <f t="shared" si="0"/>
        <v>0.51399978650725764</v>
      </c>
    </row>
    <row r="17" spans="1:6" x14ac:dyDescent="0.3">
      <c r="A17" s="1">
        <v>14</v>
      </c>
      <c r="B17" s="1">
        <v>38</v>
      </c>
      <c r="C17" s="1">
        <v>3.8</v>
      </c>
      <c r="D17" s="1">
        <v>4.1489111870196416</v>
      </c>
      <c r="F17" s="1">
        <f t="shared" si="0"/>
        <v>-0.34891118701964174</v>
      </c>
    </row>
    <row r="18" spans="1:6" x14ac:dyDescent="0.3">
      <c r="A18" s="1">
        <v>15</v>
      </c>
      <c r="B18" s="1">
        <v>54</v>
      </c>
      <c r="C18" s="1">
        <v>5.9</v>
      </c>
      <c r="D18" s="1">
        <v>5.613215200683177</v>
      </c>
      <c r="F18" s="1">
        <f t="shared" si="0"/>
        <v>0.28678479931682332</v>
      </c>
    </row>
    <row r="19" spans="1:6" x14ac:dyDescent="0.3">
      <c r="A19" s="1">
        <v>16</v>
      </c>
      <c r="B19" s="1">
        <v>76</v>
      </c>
      <c r="C19" s="1">
        <v>6.3</v>
      </c>
      <c r="D19" s="1">
        <v>7.6266332194705386</v>
      </c>
      <c r="F19" s="1">
        <f t="shared" si="0"/>
        <v>-1.3266332194705388</v>
      </c>
    </row>
    <row r="20" spans="1:6" x14ac:dyDescent="0.3">
      <c r="A20" s="1">
        <v>17</v>
      </c>
      <c r="B20" s="1">
        <v>53</v>
      </c>
      <c r="C20" s="1">
        <v>5.7</v>
      </c>
      <c r="D20" s="1">
        <v>5.5216961998292069</v>
      </c>
      <c r="F20" s="1">
        <f t="shared" si="0"/>
        <v>0.17830380017079328</v>
      </c>
    </row>
    <row r="21" spans="1:6" x14ac:dyDescent="0.3">
      <c r="A21" s="1">
        <v>18</v>
      </c>
      <c r="B21" s="1">
        <v>40</v>
      </c>
      <c r="C21" s="1">
        <v>4</v>
      </c>
      <c r="D21" s="1">
        <v>4.3319491887275836</v>
      </c>
      <c r="F21" s="1">
        <f t="shared" si="0"/>
        <v>-0.33194918872758361</v>
      </c>
    </row>
    <row r="22" spans="1:6" x14ac:dyDescent="0.3">
      <c r="A22" s="1">
        <v>19</v>
      </c>
      <c r="B22" s="1">
        <v>47</v>
      </c>
      <c r="C22" s="1">
        <v>5.2</v>
      </c>
      <c r="D22" s="1">
        <v>4.9725821947053808</v>
      </c>
      <c r="F22" s="1">
        <f t="shared" si="0"/>
        <v>0.22741780529461941</v>
      </c>
    </row>
    <row r="23" spans="1:6" x14ac:dyDescent="0.3">
      <c r="A23" s="1">
        <v>20</v>
      </c>
      <c r="B23" s="1">
        <v>23</v>
      </c>
      <c r="C23" s="1">
        <v>2.2000000000000002</v>
      </c>
      <c r="D23" s="1">
        <v>2.7761261742100771</v>
      </c>
      <c r="F23" s="1">
        <f t="shared" si="0"/>
        <v>-0.57612617421007695</v>
      </c>
    </row>
    <row r="41" spans="1:6" x14ac:dyDescent="0.3">
      <c r="B41" t="s">
        <v>54</v>
      </c>
      <c r="C41" t="s">
        <v>55</v>
      </c>
    </row>
    <row r="42" spans="1:6" x14ac:dyDescent="0.3">
      <c r="A42" t="s">
        <v>87</v>
      </c>
      <c r="B42">
        <f>INTERCEPT(C4:C23,B4:B23)</f>
        <v>0.67118915456874451</v>
      </c>
      <c r="C42" s="25" t="s">
        <v>88</v>
      </c>
    </row>
    <row r="43" spans="1:6" x14ac:dyDescent="0.3">
      <c r="A43" t="s">
        <v>89</v>
      </c>
      <c r="B43">
        <f>SLOPE(C4:C23,B4:B23)</f>
        <v>9.151900085397098E-2</v>
      </c>
      <c r="C43" s="25" t="s">
        <v>90</v>
      </c>
    </row>
    <row r="44" spans="1:6" x14ac:dyDescent="0.3">
      <c r="A44" s="33" t="s">
        <v>91</v>
      </c>
      <c r="B44" s="33"/>
      <c r="C44" s="33"/>
      <c r="D44" s="33"/>
      <c r="E44" s="33"/>
      <c r="F44" s="33"/>
    </row>
    <row r="46" spans="1:6" x14ac:dyDescent="0.3">
      <c r="A46" t="s">
        <v>92</v>
      </c>
      <c r="B46">
        <f>STEYX(C4:C23,B4:B23)</f>
        <v>0.6758728450077307</v>
      </c>
      <c r="C46" s="25" t="s">
        <v>93</v>
      </c>
    </row>
    <row r="47" spans="1:6" x14ac:dyDescent="0.3">
      <c r="A47" t="s">
        <v>94</v>
      </c>
      <c r="B47">
        <f>RSQ(C4:C23,B4:B23)</f>
        <v>0.79240371018129718</v>
      </c>
      <c r="C47" s="25" t="s">
        <v>95</v>
      </c>
    </row>
    <row r="49" spans="1:9" x14ac:dyDescent="0.3">
      <c r="A49" t="s">
        <v>96</v>
      </c>
    </row>
    <row r="50" spans="1:9" ht="15" thickBot="1" x14ac:dyDescent="0.35"/>
    <row r="51" spans="1:9" x14ac:dyDescent="0.3">
      <c r="A51" s="26" t="s">
        <v>97</v>
      </c>
      <c r="B51" s="26"/>
    </row>
    <row r="52" spans="1:9" x14ac:dyDescent="0.3">
      <c r="A52" s="27" t="s">
        <v>98</v>
      </c>
      <c r="B52" s="27">
        <v>0.89017060734518572</v>
      </c>
    </row>
    <row r="53" spans="1:9" x14ac:dyDescent="0.3">
      <c r="A53" s="27" t="s">
        <v>99</v>
      </c>
      <c r="B53" s="27">
        <v>0.79240371018129674</v>
      </c>
    </row>
    <row r="54" spans="1:9" x14ac:dyDescent="0.3">
      <c r="A54" s="27" t="s">
        <v>100</v>
      </c>
      <c r="B54" s="27">
        <v>0.78087058296914647</v>
      </c>
    </row>
    <row r="55" spans="1:9" x14ac:dyDescent="0.3">
      <c r="A55" s="27" t="s">
        <v>101</v>
      </c>
      <c r="B55" s="27">
        <v>0.67587284500773104</v>
      </c>
    </row>
    <row r="56" spans="1:9" ht="15" thickBot="1" x14ac:dyDescent="0.35">
      <c r="A56" s="28" t="s">
        <v>102</v>
      </c>
      <c r="B56" s="28">
        <v>20</v>
      </c>
    </row>
    <row r="58" spans="1:9" ht="15" thickBot="1" x14ac:dyDescent="0.35">
      <c r="A58" t="s">
        <v>103</v>
      </c>
    </row>
    <row r="59" spans="1:9" x14ac:dyDescent="0.3">
      <c r="A59" s="29"/>
      <c r="B59" s="29" t="s">
        <v>104</v>
      </c>
      <c r="C59" s="29" t="s">
        <v>105</v>
      </c>
      <c r="D59" s="29" t="s">
        <v>106</v>
      </c>
      <c r="E59" s="29" t="s">
        <v>107</v>
      </c>
      <c r="F59" s="29" t="s">
        <v>108</v>
      </c>
    </row>
    <row r="60" spans="1:9" x14ac:dyDescent="0.3">
      <c r="A60" s="27" t="s">
        <v>109</v>
      </c>
      <c r="B60" s="27">
        <v>1</v>
      </c>
      <c r="C60" s="27">
        <v>31.385526152860805</v>
      </c>
      <c r="D60" s="27">
        <v>31.385526152860805</v>
      </c>
      <c r="E60" s="27">
        <v>68.706751916036893</v>
      </c>
      <c r="F60" s="27">
        <v>1.4731500134837403E-7</v>
      </c>
    </row>
    <row r="61" spans="1:9" x14ac:dyDescent="0.3">
      <c r="A61" s="27" t="s">
        <v>110</v>
      </c>
      <c r="B61" s="27">
        <v>18</v>
      </c>
      <c r="C61" s="27">
        <v>8.2224738471392005</v>
      </c>
      <c r="D61" s="27">
        <v>0.45680410261884447</v>
      </c>
      <c r="E61" s="27"/>
      <c r="F61" s="27"/>
    </row>
    <row r="62" spans="1:9" ht="15" thickBot="1" x14ac:dyDescent="0.35">
      <c r="A62" s="28" t="s">
        <v>111</v>
      </c>
      <c r="B62" s="28">
        <v>19</v>
      </c>
      <c r="C62" s="28">
        <v>39.608000000000004</v>
      </c>
      <c r="D62" s="28"/>
      <c r="E62" s="28"/>
      <c r="F62" s="28"/>
    </row>
    <row r="63" spans="1:9" ht="15" thickBot="1" x14ac:dyDescent="0.35"/>
    <row r="64" spans="1:9" ht="37.5" customHeight="1" x14ac:dyDescent="0.3">
      <c r="A64" s="29"/>
      <c r="B64" s="30" t="s">
        <v>112</v>
      </c>
      <c r="C64" s="30" t="s">
        <v>101</v>
      </c>
      <c r="D64" s="29" t="s">
        <v>113</v>
      </c>
      <c r="E64" s="29" t="s">
        <v>114</v>
      </c>
      <c r="F64" s="29" t="s">
        <v>115</v>
      </c>
      <c r="G64" s="29" t="s">
        <v>119</v>
      </c>
      <c r="H64" s="29" t="s">
        <v>116</v>
      </c>
      <c r="I64" s="29" t="s">
        <v>117</v>
      </c>
    </row>
    <row r="65" spans="1:9" x14ac:dyDescent="0.3">
      <c r="A65" s="27" t="s">
        <v>118</v>
      </c>
      <c r="B65" s="27">
        <v>0.67118915456874451</v>
      </c>
      <c r="C65" s="27">
        <v>0.60651618793325002</v>
      </c>
      <c r="D65" s="27">
        <v>1.1066302399213326</v>
      </c>
      <c r="E65" s="27">
        <v>0.28302456470941545</v>
      </c>
      <c r="F65" s="27">
        <v>-0.60305407242319586</v>
      </c>
      <c r="G65" s="27">
        <v>1.9454323815606849</v>
      </c>
      <c r="H65" s="27">
        <v>-0.60305407242319586</v>
      </c>
      <c r="I65" s="27">
        <v>1.9454323815606849</v>
      </c>
    </row>
    <row r="66" spans="1:9" ht="15" thickBot="1" x14ac:dyDescent="0.35">
      <c r="A66" s="28" t="s">
        <v>81</v>
      </c>
      <c r="B66" s="28">
        <v>9.151900085397098E-2</v>
      </c>
      <c r="C66" s="28">
        <v>1.1041080114784997E-2</v>
      </c>
      <c r="D66" s="28">
        <v>8.2889536080277892</v>
      </c>
      <c r="E66" s="28">
        <v>1.4731500134837377E-7</v>
      </c>
      <c r="F66" s="28">
        <v>6.8322552292752137E-2</v>
      </c>
      <c r="G66" s="28">
        <v>0.11471544941518982</v>
      </c>
      <c r="H66" s="28">
        <v>6.8322552292752137E-2</v>
      </c>
      <c r="I66" s="28">
        <v>0.11471544941518982</v>
      </c>
    </row>
    <row r="67" spans="1:9" x14ac:dyDescent="0.3">
      <c r="A67" t="s">
        <v>120</v>
      </c>
    </row>
    <row r="68" spans="1:9" ht="15" thickBot="1" x14ac:dyDescent="0.35"/>
    <row r="69" spans="1:9" ht="68.25" customHeight="1" x14ac:dyDescent="0.3">
      <c r="A69" s="29" t="s">
        <v>121</v>
      </c>
      <c r="B69" s="30" t="s">
        <v>122</v>
      </c>
      <c r="C69" s="29" t="s">
        <v>123</v>
      </c>
    </row>
    <row r="70" spans="1:9" x14ac:dyDescent="0.3">
      <c r="A70" s="27">
        <v>1</v>
      </c>
      <c r="B70" s="27">
        <v>4.9725821947053808</v>
      </c>
      <c r="C70" s="27">
        <v>-0.77258219470538059</v>
      </c>
    </row>
    <row r="71" spans="1:9" x14ac:dyDescent="0.3">
      <c r="A71" s="27">
        <v>2</v>
      </c>
      <c r="B71" s="27">
        <v>7.1690382152006844</v>
      </c>
      <c r="C71" s="27">
        <v>0.93096178479931524</v>
      </c>
    </row>
    <row r="72" spans="1:9" x14ac:dyDescent="0.3">
      <c r="A72" s="27">
        <v>3</v>
      </c>
      <c r="B72" s="27">
        <v>6.5284052092228873</v>
      </c>
      <c r="C72" s="27">
        <v>0.27159479077711257</v>
      </c>
    </row>
    <row r="73" spans="1:9" x14ac:dyDescent="0.3">
      <c r="A73" s="27">
        <v>4</v>
      </c>
      <c r="B73" s="27">
        <v>3.8743541844577289</v>
      </c>
      <c r="C73" s="27">
        <v>0.42564581554227088</v>
      </c>
    </row>
    <row r="74" spans="1:9" x14ac:dyDescent="0.3">
      <c r="A74" s="27">
        <v>5</v>
      </c>
      <c r="B74" s="27">
        <v>4.6065061912894967</v>
      </c>
      <c r="C74" s="27">
        <v>0.39349380871050332</v>
      </c>
    </row>
    <row r="75" spans="1:9" x14ac:dyDescent="0.3">
      <c r="A75" s="27">
        <v>6</v>
      </c>
      <c r="B75" s="27">
        <v>6.1623292058070032</v>
      </c>
      <c r="C75" s="27">
        <v>1.3376707941929968</v>
      </c>
    </row>
    <row r="76" spans="1:9" x14ac:dyDescent="0.3">
      <c r="A76" s="27">
        <v>7</v>
      </c>
      <c r="B76" s="27">
        <v>4.1489111870196416</v>
      </c>
      <c r="C76" s="27">
        <v>0.55108881298035861</v>
      </c>
    </row>
    <row r="77" spans="1:9" x14ac:dyDescent="0.3">
      <c r="A77" s="27">
        <v>8</v>
      </c>
      <c r="B77" s="27">
        <v>6.0708102049530321</v>
      </c>
      <c r="C77" s="27">
        <v>-0.17081020495303179</v>
      </c>
    </row>
    <row r="78" spans="1:9" x14ac:dyDescent="0.3">
      <c r="A78" s="27">
        <v>9</v>
      </c>
      <c r="B78" s="27">
        <v>6.8029622117848003</v>
      </c>
      <c r="C78" s="27">
        <v>9.7037788215200038E-2</v>
      </c>
    </row>
    <row r="79" spans="1:9" x14ac:dyDescent="0.3">
      <c r="A79" s="27">
        <v>10</v>
      </c>
      <c r="B79" s="27">
        <v>5.7962532023911191</v>
      </c>
      <c r="C79" s="27">
        <v>-9.6253202391118897E-2</v>
      </c>
    </row>
    <row r="80" spans="1:9" x14ac:dyDescent="0.3">
      <c r="A80" s="27">
        <v>11</v>
      </c>
      <c r="B80" s="27">
        <v>6.8029622117848003</v>
      </c>
      <c r="C80" s="27">
        <v>-1.1029622117848001</v>
      </c>
    </row>
    <row r="81" spans="1:3" x14ac:dyDescent="0.3">
      <c r="A81" s="27">
        <v>12</v>
      </c>
      <c r="B81" s="27">
        <v>5.8877722032450901</v>
      </c>
      <c r="C81" s="27">
        <v>-0.48777220324508974</v>
      </c>
    </row>
    <row r="82" spans="1:3" x14ac:dyDescent="0.3">
      <c r="A82" s="27">
        <v>13</v>
      </c>
      <c r="B82" s="27">
        <v>6.9860002134927424</v>
      </c>
      <c r="C82" s="27">
        <v>0.51399978650725764</v>
      </c>
    </row>
    <row r="83" spans="1:3" x14ac:dyDescent="0.3">
      <c r="A83" s="27">
        <v>14</v>
      </c>
      <c r="B83" s="27">
        <v>4.1489111870196416</v>
      </c>
      <c r="C83" s="27">
        <v>-0.34891118701964174</v>
      </c>
    </row>
    <row r="84" spans="1:3" x14ac:dyDescent="0.3">
      <c r="A84" s="27">
        <v>15</v>
      </c>
      <c r="B84" s="27">
        <v>5.613215200683177</v>
      </c>
      <c r="C84" s="27">
        <v>0.28678479931682332</v>
      </c>
    </row>
    <row r="85" spans="1:3" x14ac:dyDescent="0.3">
      <c r="A85" s="27">
        <v>16</v>
      </c>
      <c r="B85" s="27">
        <v>7.6266332194705386</v>
      </c>
      <c r="C85" s="27">
        <v>-1.3266332194705388</v>
      </c>
    </row>
    <row r="86" spans="1:3" x14ac:dyDescent="0.3">
      <c r="A86" s="27">
        <v>17</v>
      </c>
      <c r="B86" s="27">
        <v>5.5216961998292069</v>
      </c>
      <c r="C86" s="27">
        <v>0.17830380017079328</v>
      </c>
    </row>
    <row r="87" spans="1:3" x14ac:dyDescent="0.3">
      <c r="A87" s="27">
        <v>18</v>
      </c>
      <c r="B87" s="27">
        <v>4.3319491887275836</v>
      </c>
      <c r="C87" s="27">
        <v>-0.33194918872758361</v>
      </c>
    </row>
    <row r="88" spans="1:3" x14ac:dyDescent="0.3">
      <c r="A88" s="27">
        <v>19</v>
      </c>
      <c r="B88" s="27">
        <v>4.9725821947053808</v>
      </c>
      <c r="C88" s="27">
        <v>0.22741780529461941</v>
      </c>
    </row>
    <row r="89" spans="1:3" ht="15" thickBot="1" x14ac:dyDescent="0.35">
      <c r="A89" s="28">
        <v>20</v>
      </c>
      <c r="B89" s="28">
        <v>2.7761261742100771</v>
      </c>
      <c r="C89" s="28">
        <v>-0.57612617421007695</v>
      </c>
    </row>
  </sheetData>
  <mergeCells count="1">
    <mergeCell ref="A44:F4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Karl Pearson</vt:lpstr>
      <vt:lpstr>Spearman</vt:lpstr>
      <vt:lpstr>Regression</vt:lpstr>
    </vt:vector>
  </TitlesOfParts>
  <Company>Deftones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PrakashbdrAmatya</dc:creator>
  <cp:lastModifiedBy>Prakash Bahadur Amatya</cp:lastModifiedBy>
  <dcterms:created xsi:type="dcterms:W3CDTF">2016-09-16T05:39:07Z</dcterms:created>
  <dcterms:modified xsi:type="dcterms:W3CDTF">2023-07-22T03:23:58Z</dcterms:modified>
</cp:coreProperties>
</file>